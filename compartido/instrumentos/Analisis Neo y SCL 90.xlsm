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9440" windowHeight="8010" firstSheet="1" activeTab="1"/>
  </bookViews>
  <sheets>
    <sheet name="NEO Fii" sheetId="5" state="hidden" r:id="rId1"/>
    <sheet name="Grillas" sheetId="1" r:id="rId2"/>
    <sheet name="Informacion SCL 90" sheetId="3" state="hidden" r:id="rId3"/>
    <sheet name="Listas desplegables" sheetId="6" state="hidden" r:id="rId4"/>
    <sheet name="Resultados" sheetId="7" r:id="rId5"/>
    <sheet name="Lista" sheetId="8" r:id="rId6"/>
    <sheet name="Baremos adultos V y M" sheetId="37" r:id="rId7"/>
  </sheets>
  <definedNames>
    <definedName name="_xlnm._FilterDatabase" localSheetId="1" hidden="1">Grillas!$A$13:$F$103</definedName>
    <definedName name="_xlnm._FilterDatabase" localSheetId="0" hidden="1">Grillas!$A$106:$E$166</definedName>
    <definedName name="Baremo">'Listas desplegables'!$A$2:$A$5</definedName>
  </definedNames>
  <calcPr calcId="144525"/>
</workbook>
</file>

<file path=xl/calcChain.xml><?xml version="1.0" encoding="utf-8"?>
<calcChain xmlns="http://schemas.openxmlformats.org/spreadsheetml/2006/main">
  <c r="U42" i="1" l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D6" i="1" l="1"/>
  <c r="AD25" i="37" l="1"/>
  <c r="AC25" i="37"/>
  <c r="AB25" i="37"/>
  <c r="AA25" i="37"/>
  <c r="Z25" i="37"/>
  <c r="Y25" i="37"/>
  <c r="X25" i="37"/>
  <c r="W25" i="37"/>
  <c r="V25" i="37"/>
  <c r="U25" i="37"/>
  <c r="T25" i="37"/>
  <c r="S25" i="37"/>
  <c r="R25" i="37"/>
  <c r="Q25" i="37"/>
  <c r="AD23" i="37"/>
  <c r="AC23" i="37"/>
  <c r="AB23" i="37"/>
  <c r="AA23" i="37"/>
  <c r="Z23" i="37"/>
  <c r="Y23" i="37"/>
  <c r="X23" i="37"/>
  <c r="W23" i="37"/>
  <c r="V23" i="37"/>
  <c r="U23" i="37"/>
  <c r="T23" i="37"/>
  <c r="S23" i="37"/>
  <c r="R23" i="37"/>
  <c r="Q23" i="37"/>
  <c r="AD21" i="37"/>
  <c r="AC21" i="37"/>
  <c r="AB21" i="37"/>
  <c r="AA21" i="37"/>
  <c r="Z21" i="37"/>
  <c r="Y21" i="37"/>
  <c r="X21" i="37"/>
  <c r="W21" i="37"/>
  <c r="V21" i="37"/>
  <c r="U21" i="37"/>
  <c r="T21" i="37"/>
  <c r="S21" i="37"/>
  <c r="R21" i="37"/>
  <c r="Q21" i="37"/>
  <c r="AD19" i="37"/>
  <c r="AC19" i="37"/>
  <c r="AB19" i="37"/>
  <c r="AA19" i="37"/>
  <c r="Z19" i="37"/>
  <c r="Y19" i="37"/>
  <c r="X19" i="37"/>
  <c r="W19" i="37"/>
  <c r="V19" i="37"/>
  <c r="U19" i="37"/>
  <c r="T19" i="37"/>
  <c r="S19" i="37"/>
  <c r="R19" i="37"/>
  <c r="Q19" i="37"/>
  <c r="AD17" i="37"/>
  <c r="AC17" i="37"/>
  <c r="AB17" i="37"/>
  <c r="AA17" i="37"/>
  <c r="Z17" i="37"/>
  <c r="Y17" i="37"/>
  <c r="X17" i="37"/>
  <c r="W17" i="37"/>
  <c r="V17" i="37"/>
  <c r="U17" i="37"/>
  <c r="T17" i="37"/>
  <c r="S17" i="37"/>
  <c r="R17" i="37"/>
  <c r="Q17" i="37"/>
  <c r="AD15" i="37"/>
  <c r="AC15" i="37"/>
  <c r="AB15" i="37"/>
  <c r="AA15" i="37"/>
  <c r="Z15" i="37"/>
  <c r="Y15" i="37"/>
  <c r="X15" i="37"/>
  <c r="W15" i="37"/>
  <c r="V15" i="37"/>
  <c r="U15" i="37"/>
  <c r="T15" i="37"/>
  <c r="S15" i="37"/>
  <c r="R15" i="37"/>
  <c r="Q15" i="37"/>
  <c r="AD13" i="37"/>
  <c r="AC13" i="37"/>
  <c r="AB13" i="37"/>
  <c r="AA13" i="37"/>
  <c r="Z13" i="37"/>
  <c r="Y13" i="37"/>
  <c r="X13" i="37"/>
  <c r="W13" i="37"/>
  <c r="V13" i="37"/>
  <c r="U13" i="37"/>
  <c r="T13" i="37"/>
  <c r="S13" i="37"/>
  <c r="R13" i="37"/>
  <c r="Q13" i="37"/>
  <c r="AD11" i="37"/>
  <c r="AC11" i="37"/>
  <c r="AB11" i="37"/>
  <c r="AA11" i="37"/>
  <c r="Z11" i="37"/>
  <c r="Y11" i="37"/>
  <c r="X11" i="37"/>
  <c r="W11" i="37"/>
  <c r="V11" i="37"/>
  <c r="U11" i="37"/>
  <c r="T11" i="37"/>
  <c r="S11" i="37"/>
  <c r="R11" i="37"/>
  <c r="Q11" i="37"/>
  <c r="AD9" i="37"/>
  <c r="AC9" i="37"/>
  <c r="AB9" i="37"/>
  <c r="AA9" i="37"/>
  <c r="Z9" i="37"/>
  <c r="Y9" i="37"/>
  <c r="X9" i="37"/>
  <c r="W9" i="37"/>
  <c r="V9" i="37"/>
  <c r="U9" i="37"/>
  <c r="T9" i="37"/>
  <c r="S9" i="37"/>
  <c r="R9" i="37"/>
  <c r="Q9" i="37"/>
  <c r="AD7" i="37"/>
  <c r="AC7" i="37"/>
  <c r="AB7" i="37"/>
  <c r="AA7" i="37"/>
  <c r="Z7" i="37"/>
  <c r="Y7" i="37"/>
  <c r="X7" i="37"/>
  <c r="W7" i="37"/>
  <c r="V7" i="37"/>
  <c r="U7" i="37"/>
  <c r="T7" i="37"/>
  <c r="S7" i="37"/>
  <c r="R7" i="37"/>
  <c r="Q7" i="37"/>
  <c r="AD5" i="37"/>
  <c r="AC5" i="37"/>
  <c r="AB5" i="37"/>
  <c r="AA5" i="37"/>
  <c r="Z5" i="37"/>
  <c r="Y5" i="37"/>
  <c r="X5" i="37"/>
  <c r="W5" i="37"/>
  <c r="V5" i="37"/>
  <c r="U5" i="37"/>
  <c r="T5" i="37"/>
  <c r="S5" i="37"/>
  <c r="R5" i="37"/>
  <c r="Q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C15" i="37"/>
  <c r="B15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C13" i="37"/>
  <c r="B13" i="37"/>
  <c r="O11" i="37"/>
  <c r="N11" i="37"/>
  <c r="M11" i="37"/>
  <c r="L11" i="37"/>
  <c r="K11" i="37"/>
  <c r="J11" i="37"/>
  <c r="I11" i="37"/>
  <c r="H11" i="37"/>
  <c r="G11" i="37"/>
  <c r="F11" i="37"/>
  <c r="E11" i="37"/>
  <c r="D11" i="37"/>
  <c r="C11" i="37"/>
  <c r="B11" i="37"/>
  <c r="O9" i="37"/>
  <c r="N9" i="37"/>
  <c r="M9" i="37"/>
  <c r="L9" i="37"/>
  <c r="K9" i="37"/>
  <c r="J9" i="37"/>
  <c r="I9" i="37"/>
  <c r="H9" i="37"/>
  <c r="G9" i="37"/>
  <c r="F9" i="37"/>
  <c r="E9" i="37"/>
  <c r="D9" i="37"/>
  <c r="C9" i="37"/>
  <c r="B9" i="37"/>
  <c r="O7" i="37"/>
  <c r="N7" i="37"/>
  <c r="M7" i="37"/>
  <c r="L7" i="37"/>
  <c r="K7" i="37"/>
  <c r="J7" i="37"/>
  <c r="I7" i="37"/>
  <c r="H7" i="37"/>
  <c r="G7" i="37"/>
  <c r="F7" i="37"/>
  <c r="E7" i="37"/>
  <c r="D7" i="37"/>
  <c r="C7" i="37"/>
  <c r="B7" i="37"/>
  <c r="D5" i="37"/>
  <c r="E5" i="37"/>
  <c r="F5" i="37"/>
  <c r="G5" i="37"/>
  <c r="H5" i="37"/>
  <c r="I5" i="37"/>
  <c r="J5" i="37"/>
  <c r="K5" i="37"/>
  <c r="L5" i="37"/>
  <c r="M5" i="37"/>
  <c r="N5" i="37"/>
  <c r="O5" i="37"/>
  <c r="C5" i="37"/>
  <c r="B5" i="37"/>
  <c r="E104" i="1" l="1"/>
  <c r="D7" i="1" l="1"/>
  <c r="D5" i="1"/>
  <c r="D4" i="1"/>
  <c r="D3" i="1"/>
  <c r="E107" i="1" l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J108" i="1" l="1"/>
  <c r="J109" i="1" s="1"/>
  <c r="J110" i="1" s="1"/>
  <c r="I108" i="1"/>
  <c r="I109" i="1" s="1"/>
  <c r="I110" i="1" s="1"/>
  <c r="M108" i="1"/>
  <c r="M109" i="1" s="1"/>
  <c r="M110" i="1" s="1"/>
  <c r="L108" i="1"/>
  <c r="L109" i="1" s="1"/>
  <c r="L110" i="1" s="1"/>
  <c r="K108" i="1"/>
  <c r="K109" i="1" s="1"/>
  <c r="K110" i="1" s="1"/>
  <c r="N108" i="1"/>
  <c r="F15" i="1" l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4" i="1"/>
  <c r="T15" i="1" l="1"/>
  <c r="T17" i="1" s="1"/>
  <c r="BS25" i="1" s="1"/>
  <c r="S15" i="1"/>
  <c r="S17" i="1" s="1"/>
  <c r="BS24" i="1" s="1"/>
  <c r="BW24" i="1" s="1"/>
  <c r="R15" i="1"/>
  <c r="Q15" i="1"/>
  <c r="X15" i="1"/>
  <c r="I15" i="1"/>
  <c r="K15" i="1"/>
  <c r="N15" i="1"/>
  <c r="P15" i="1"/>
  <c r="O15" i="1"/>
  <c r="J15" i="1"/>
  <c r="M15" i="1"/>
  <c r="L15" i="1"/>
  <c r="BL15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AW15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H15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BL16" i="1" l="1"/>
  <c r="AW16" i="1"/>
  <c r="AH16" i="1"/>
  <c r="T16" i="1" l="1"/>
  <c r="I16" i="1"/>
  <c r="I17" i="1" s="1"/>
  <c r="BS14" i="1" s="1"/>
  <c r="BV14" i="1" s="1"/>
  <c r="M16" i="1"/>
  <c r="M17" i="1" s="1"/>
  <c r="BS18" i="1" s="1"/>
  <c r="BV18" i="1" s="1"/>
  <c r="J16" i="1"/>
  <c r="J17" i="1" s="1"/>
  <c r="BS15" i="1" s="1"/>
  <c r="BV15" i="1" s="1"/>
  <c r="L16" i="1"/>
  <c r="L17" i="1" s="1"/>
  <c r="BS17" i="1" s="1"/>
  <c r="BV17" i="1" s="1"/>
  <c r="K16" i="1"/>
  <c r="K17" i="1" s="1"/>
  <c r="BS16" i="1" s="1"/>
  <c r="BV16" i="1" s="1"/>
  <c r="BG15" i="1"/>
  <c r="BG16" i="1" s="1"/>
  <c r="AO15" i="1"/>
  <c r="AO16" i="1" s="1"/>
  <c r="AT15" i="1"/>
  <c r="AT16" i="1" s="1"/>
  <c r="AS15" i="1"/>
  <c r="AS16" i="1" s="1"/>
  <c r="X16" i="1"/>
  <c r="BH15" i="1"/>
  <c r="BH16" i="1" s="1"/>
  <c r="BE15" i="1"/>
  <c r="BE16" i="1" s="1"/>
  <c r="BF15" i="1"/>
  <c r="BF16" i="1" s="1"/>
  <c r="Z15" i="1"/>
  <c r="Z16" i="1" s="1"/>
  <c r="BJ15" i="1"/>
  <c r="BJ16" i="1" s="1"/>
  <c r="AN15" i="1"/>
  <c r="AN16" i="1" s="1"/>
  <c r="BI15" i="1"/>
  <c r="BI16" i="1" s="1"/>
  <c r="AP15" i="1"/>
  <c r="AP16" i="1" s="1"/>
  <c r="BD15" i="1"/>
  <c r="BD16" i="1" s="1"/>
  <c r="AM15" i="1"/>
  <c r="AM16" i="1" s="1"/>
  <c r="BB15" i="1"/>
  <c r="BB16" i="1" s="1"/>
  <c r="BC15" i="1"/>
  <c r="BC16" i="1" s="1"/>
  <c r="BK15" i="1"/>
  <c r="BK16" i="1" s="1"/>
  <c r="BM15" i="1"/>
  <c r="BM16" i="1" s="1"/>
  <c r="AC15" i="1"/>
  <c r="AC16" i="1" s="1"/>
  <c r="AI15" i="1"/>
  <c r="AI16" i="1" s="1"/>
  <c r="AE15" i="1"/>
  <c r="AE16" i="1" s="1"/>
  <c r="AA15" i="1"/>
  <c r="AA16" i="1" s="1"/>
  <c r="AX15" i="1"/>
  <c r="AX16" i="1" s="1"/>
  <c r="AD15" i="1"/>
  <c r="AD16" i="1" s="1"/>
  <c r="AV15" i="1"/>
  <c r="AV16" i="1" s="1"/>
  <c r="AQ15" i="1"/>
  <c r="AQ16" i="1" s="1"/>
  <c r="AF15" i="1"/>
  <c r="AF16" i="1" s="1"/>
  <c r="Y15" i="1"/>
  <c r="Y16" i="1" s="1"/>
  <c r="AU15" i="1"/>
  <c r="AU16" i="1" s="1"/>
  <c r="AR15" i="1"/>
  <c r="AR16" i="1" s="1"/>
  <c r="AB15" i="1"/>
  <c r="AB16" i="1" s="1"/>
  <c r="AG15" i="1"/>
  <c r="AG16" i="1" s="1"/>
  <c r="N16" i="1"/>
  <c r="N17" i="1" s="1"/>
  <c r="BS19" i="1" s="1"/>
  <c r="BV19" i="1" s="1"/>
  <c r="O16" i="1"/>
  <c r="O17" i="1" s="1"/>
  <c r="BS20" i="1" s="1"/>
  <c r="BV20" i="1" s="1"/>
  <c r="R16" i="1"/>
  <c r="R17" i="1" s="1"/>
  <c r="BS23" i="1" s="1"/>
  <c r="BV23" i="1" s="1"/>
  <c r="S16" i="1"/>
  <c r="P16" i="1"/>
  <c r="P17" i="1" s="1"/>
  <c r="BS21" i="1" s="1"/>
  <c r="BV21" i="1" s="1"/>
  <c r="Q16" i="1"/>
  <c r="Q17" i="1" s="1"/>
  <c r="BS22" i="1" s="1"/>
  <c r="BV22" i="1" s="1"/>
</calcChain>
</file>

<file path=xl/sharedStrings.xml><?xml version="1.0" encoding="utf-8"?>
<sst xmlns="http://schemas.openxmlformats.org/spreadsheetml/2006/main" count="828" uniqueCount="425">
  <si>
    <t xml:space="preserve"> 1.Dolores de cabeza. </t>
  </si>
  <si>
    <t xml:space="preserve"> 2. Nerviosismo. </t>
  </si>
  <si>
    <t xml:space="preserve"> 3. Pensamientos desagradables que no se iban de mi cabeza. </t>
  </si>
  <si>
    <t xml:space="preserve">4. Sensación de mareo o desmayo. </t>
  </si>
  <si>
    <t xml:space="preserve"> 5. Falta de interés en relaciones sexuales. </t>
  </si>
  <si>
    <t xml:space="preserve"> 6. Criticar a los demás. </t>
  </si>
  <si>
    <t xml:space="preserve">7. Sentir que otro puede controlar mis pensamientos. </t>
  </si>
  <si>
    <t xml:space="preserve"> 8. Sentir que otros son culpables de lo que me pasa. </t>
  </si>
  <si>
    <t xml:space="preserve"> 9. Tener dificultad para memorizar cosas. </t>
  </si>
  <si>
    <t xml:space="preserve">10. Estar preocupado/a por mi falta de ganas para hacer algo. </t>
  </si>
  <si>
    <t xml:space="preserve">11. Sentirme enojado/a, malhumorado/a. </t>
  </si>
  <si>
    <t xml:space="preserve">12. Dolores en el pecho. </t>
  </si>
  <si>
    <t xml:space="preserve">13. Miedo a los espacios abiertos o las calles. </t>
  </si>
  <si>
    <t xml:space="preserve">14. Sentirme con muy pocas energías. </t>
  </si>
  <si>
    <t xml:space="preserve">15. Pensar en quitarme la vida. </t>
  </si>
  <si>
    <t xml:space="preserve">16. Escuchar voces que otras personas no oyen. </t>
  </si>
  <si>
    <t xml:space="preserve">17. Temblores en mi cuerpo. </t>
  </si>
  <si>
    <t xml:space="preserve">18. Perder la confianza en la mayoría de las personas. </t>
  </si>
  <si>
    <t xml:space="preserve">19. No tener ganas de comer. </t>
  </si>
  <si>
    <t xml:space="preserve">20. Llorar por cualquier cosa. </t>
  </si>
  <si>
    <t xml:space="preserve">21. Sentirme incómodo/a con personas del otro sexo. </t>
  </si>
  <si>
    <t xml:space="preserve">22. Sentirmme atrapada/o o encerrado/a. </t>
  </si>
  <si>
    <t xml:space="preserve">23. Asustarme de repente sin razón alguna. </t>
  </si>
  <si>
    <t xml:space="preserve">24. Explotar y no poder controlarme. </t>
  </si>
  <si>
    <t xml:space="preserve">25. Tener miedo a salir solo/a de mi casa. </t>
  </si>
  <si>
    <t xml:space="preserve">26. Sentirme culpable por cosas que ocurren. </t>
  </si>
  <si>
    <t xml:space="preserve">27.Dolores en la espalda. </t>
  </si>
  <si>
    <t xml:space="preserve">28. No poder terminar las cosas que empecé a hacer. </t>
  </si>
  <si>
    <t xml:space="preserve">29. Sentirme solo/a. </t>
  </si>
  <si>
    <t xml:space="preserve">30. Sentirme triste. </t>
  </si>
  <si>
    <t xml:space="preserve">31. Preocuparme demasiado por todo lo que pasa. </t>
  </si>
  <si>
    <t xml:space="preserve">32. No tener interés por nada. </t>
  </si>
  <si>
    <t xml:space="preserve">33. Tener miedos. </t>
  </si>
  <si>
    <t xml:space="preserve">34. Sentirme herido en mis sentimientos. </t>
  </si>
  <si>
    <t xml:space="preserve">35. Creer que la gente sabe qué estoy pensando. </t>
  </si>
  <si>
    <t xml:space="preserve">36. Sentir que no me comprenden. </t>
  </si>
  <si>
    <t xml:space="preserve">37. Sentir que no caigo bien a la gente, que no les gusto. </t>
  </si>
  <si>
    <t xml:space="preserve">39. Mi corazón late muy fuerte, se acelera. </t>
  </si>
  <si>
    <t xml:space="preserve">40. Náuseas o dolor de estómago. </t>
  </si>
  <si>
    <t xml:space="preserve">41. Sentirme inferior a los demás. </t>
  </si>
  <si>
    <t xml:space="preserve">42. Calambres en manos, brazos o piernas. </t>
  </si>
  <si>
    <t xml:space="preserve">43. Sentir que me vigilan o que hablan de mí. </t>
  </si>
  <si>
    <t xml:space="preserve">44. Tener problemas para dormirme. </t>
  </si>
  <si>
    <t xml:space="preserve">45. Tener que controlar una o más veces lo que hago. </t>
  </si>
  <si>
    <t xml:space="preserve">46. Tener dificultades para tomar decisiones. </t>
  </si>
  <si>
    <t xml:space="preserve">47. Tener miedo de viajar en tren, ómnibus o subterráneos. </t>
  </si>
  <si>
    <t xml:space="preserve">48. Tener dificultades para respirar bien. </t>
  </si>
  <si>
    <t xml:space="preserve">49. Ataques de frío o de calor. </t>
  </si>
  <si>
    <t xml:space="preserve">51. Sentir que mi mente queda en blanco. </t>
  </si>
  <si>
    <t xml:space="preserve">52. Hormigueos en alguna parte del cuerpo. </t>
  </si>
  <si>
    <t xml:space="preserve">53. Tener un nudo en la garganta. </t>
  </si>
  <si>
    <t xml:space="preserve">54. Perder las esperanzas en el futuro. </t>
  </si>
  <si>
    <t xml:space="preserve">55. Dificultades para concentrarme en lo que estoy haciendo. </t>
  </si>
  <si>
    <t xml:space="preserve">56. Sentir flojedad, debilidad, en partes de mi cuerpo. </t>
  </si>
  <si>
    <t xml:space="preserve">57. Sentirme muy nervioso/a, agitado/a </t>
  </si>
  <si>
    <t xml:space="preserve">58. Sentir mis brazos y piernas muy pesados </t>
  </si>
  <si>
    <t xml:space="preserve">59. Pensar que me estoy por morir. </t>
  </si>
  <si>
    <t xml:space="preserve">60. Comer demasiado. </t>
  </si>
  <si>
    <t xml:space="preserve">61. Sentirme incómodo/a cuando me miran o hablan de mí. </t>
  </si>
  <si>
    <t xml:space="preserve">62. Tener ideas, pensamientos que no son los míos. </t>
  </si>
  <si>
    <t xml:space="preserve">63. Necesitar golpear o lastimar a alguien. </t>
  </si>
  <si>
    <t xml:space="preserve">64. Despertarme muy temprano por la mañana sin necesidad. </t>
  </si>
  <si>
    <t xml:space="preserve">65. Repetir muchas veces algo que hago: contar, lavarme, tocar cosas. </t>
  </si>
  <si>
    <t xml:space="preserve">66. Dormir con problemas, muy inquieto/a. </t>
  </si>
  <si>
    <t xml:space="preserve">67. Necesitar romper o destrozar cosas. </t>
  </si>
  <si>
    <t xml:space="preserve">68. Tener ideas, pensamientos que los demás no entienden. </t>
  </si>
  <si>
    <t xml:space="preserve">69. Estar muy pendiente de lo que los demás puedan pensar de mí. </t>
  </si>
  <si>
    <t xml:space="preserve">70. Sentirme incómodo/a en lugares donde hay mucha gente. </t>
  </si>
  <si>
    <t xml:space="preserve">71. Sentir que todo me cuesta mucho esfuerzo. </t>
  </si>
  <si>
    <t xml:space="preserve">72. Tener ataques de mucho miedo o de pánico. </t>
  </si>
  <si>
    <t xml:space="preserve">73. Sentirme mal si estoy comiendo o bebiendo en público. </t>
  </si>
  <si>
    <t xml:space="preserve">74. Meterme muy seguido en discusiones. </t>
  </si>
  <si>
    <t xml:space="preserve">75. Ponerme nervioso/a cuando estoy solo/a. </t>
  </si>
  <si>
    <t xml:space="preserve">76. Sentir que los demás no me valoran como merezco. </t>
  </si>
  <si>
    <t xml:space="preserve">77. Sentirme solo/a aún estando con gente. </t>
  </si>
  <si>
    <t xml:space="preserve">78. Estar inquieto/a; no poder estar sentado/a sin moverme. </t>
  </si>
  <si>
    <t xml:space="preserve">79. Sentirme un/a inútil. </t>
  </si>
  <si>
    <t xml:space="preserve">80. Sentir que algo malo me va a pasar. </t>
  </si>
  <si>
    <t xml:space="preserve">81. Gritar o tirar cosas. </t>
  </si>
  <si>
    <t xml:space="preserve">82. Miedo a desmayarme en medio de la gente. </t>
  </si>
  <si>
    <t xml:space="preserve">83. Sentir que se aprovechan de mí si los dejo. </t>
  </si>
  <si>
    <t xml:space="preserve">84. Pensar cosas sobre el sexo que me molestan. </t>
  </si>
  <si>
    <t xml:space="preserve">85. Sentir que debo ser castigado/a por mis pecados. </t>
  </si>
  <si>
    <t xml:space="preserve">86. Tener imágenes y pensamientos que me dan miedo. </t>
  </si>
  <si>
    <t xml:space="preserve">87. Sentir que algo anda mal en mi cuerpo. </t>
  </si>
  <si>
    <t xml:space="preserve">88. Sentirme alejado/a de las demás personas. </t>
  </si>
  <si>
    <t xml:space="preserve">89. Sentirme culpable. </t>
  </si>
  <si>
    <t>90. Pensar que en mi cabeza hay algo que no funciona bien.</t>
  </si>
  <si>
    <t xml:space="preserve">38. Tener que hacer las cosas muy despacio para estar seguro/a de que están bien hechas.  </t>
  </si>
  <si>
    <t xml:space="preserve">50 Tener que evitar acercarme a algunos lugares o actividades porque me dan miedo. </t>
  </si>
  <si>
    <t>Codigo</t>
  </si>
  <si>
    <t>SOM</t>
  </si>
  <si>
    <t>OBS</t>
  </si>
  <si>
    <t>S.I</t>
  </si>
  <si>
    <t>DEP</t>
  </si>
  <si>
    <t>ANS</t>
  </si>
  <si>
    <t>HOS</t>
  </si>
  <si>
    <t>FOB</t>
  </si>
  <si>
    <t>PAR</t>
  </si>
  <si>
    <t>PSIC</t>
  </si>
  <si>
    <t>Item Adicional</t>
  </si>
  <si>
    <t>IGS</t>
  </si>
  <si>
    <t>Puntaje</t>
  </si>
  <si>
    <t>Items sin responder</t>
  </si>
  <si>
    <t>Puntuación Directa</t>
  </si>
  <si>
    <t>Puntuación T</t>
  </si>
  <si>
    <t>MASCULINO adultos</t>
  </si>
  <si>
    <t>SI</t>
  </si>
  <si>
    <t>T</t>
  </si>
  <si>
    <t>TSP</t>
  </si>
  <si>
    <t>IMSP</t>
  </si>
  <si>
    <t>EL INVENTARIO DE SÍNTOMAS SCL-90-R de L. Derogatis</t>
  </si>
  <si>
    <t>María Martina Casullo. Marcelo Pérez.</t>
  </si>
  <si>
    <t>Este inventario ha sido desarrollado para evaluar patrones de síntomas presentes en individuos</t>
  </si>
  <si>
    <t>y puede ser utilizado tanto en tareas comunitarias como de diagnóstico clínico.</t>
  </si>
  <si>
    <t>Cada uno de los 90 ítems que lo integran se responde sobre la base de una escala de cinco</t>
  </si>
  <si>
    <t>puntos ( 0-4). Se lo evalúa e interpreta en función de nueve dimensiones primarias y tres</t>
  </si>
  <si>
    <t>índices globales de malestar psicológico:</t>
  </si>
  <si>
    <t>1) Somatizaciones (SOM)</t>
  </si>
  <si>
    <t>2) Obsesiones y compulsiones ( OBS)</t>
  </si>
  <si>
    <t>3) Sensitividad interpersonal ( SI)</t>
  </si>
  <si>
    <t>4) Depresión ( DEP)</t>
  </si>
  <si>
    <t>5) Ansiedad (ANS)</t>
  </si>
  <si>
    <t>6) Hostilidad (HOS)</t>
  </si>
  <si>
    <t>7) Ansiedad fóbica ( FOB)</t>
  </si>
  <si>
    <t>8) Ideación paranoide ( PAR)</t>
  </si>
  <si>
    <t>9) Psicoticismo ( PSIC).</t>
  </si>
  <si>
    <t>1) Indice global de severidad ( IGS)</t>
  </si>
  <si>
    <t>2) Total de síntomas positivos ( TSP)</t>
  </si>
  <si>
    <t>3) Índice Malestar Sintomático Positivo ( IMSP)</t>
  </si>
  <si>
    <t>Estos tres indicadores reflejan aspectos diferenciales de los trastornos a ser evaluados.</t>
  </si>
  <si>
    <t>En términos generales una persona que ha completado su escolaridad primaria lo puede</t>
  </si>
  <si>
    <t>responder sin mayores dificultades. En caso de que el sujeto evidencie dificultades lectoras es</t>
  </si>
  <si>
    <t>aconsejable que el examinador le lea cada uno de los ítems en voz alta.</t>
  </si>
  <si>
    <t>En circunstancias normales su administración no requiere más de quince minutos. Se le pide a</t>
  </si>
  <si>
    <t>la persona que está siendo evaluada que responda en función de cómo se ha sentido durante</t>
  </si>
  <si>
    <t>los últimos siete días, incluyendo el día de hoy (el de la administración del inventario). Los</t>
  </si>
  <si>
    <t>pacientes con retraso mental, ideas delirantes o trastorno psicótico son malos candidatos para</t>
  </si>
  <si>
    <t>responder el SCL-90. Es aplicable a personas entre 13 y 65 años de edad.</t>
  </si>
  <si>
    <t>LAS NUEVE DIMENSIONES DE SÍNTOMAS.</t>
  </si>
  <si>
    <t>Estas dimensiones se definieron sobre la base de criterios clínicos, racionales y empíricos.</t>
  </si>
  <si>
    <t>SOMATIZACIONES</t>
  </si>
  <si>
    <t>Evalúa la presencia de malestares que la persona percibe relacionados con diferentes</t>
  </si>
  <si>
    <t>disfunciones corporales (cardiovasculares, gastrointestinales, respiratorios).</t>
  </si>
  <si>
    <t>OBSESIONES Y COMPULSIONES</t>
  </si>
  <si>
    <t>Incluye síntomas que se identifican con el síndrome clínico del mismo nombre:</t>
  </si>
  <si>
    <t>Pensamientos, acciones e impulsos que son vivenciados como imposibles de evitar o no</t>
  </si>
  <si>
    <t>deseados.</t>
  </si>
  <si>
    <t>SENSITIVIDAD INTERPERSONAL</t>
  </si>
  <si>
    <t>Se focaliza en detectar la presencia de sentimientos de inferioridad e inadecuación, en</t>
  </si>
  <si>
    <t>especial cuando la persona se compara con sus semejantes</t>
  </si>
  <si>
    <t>DEPRESIÓN</t>
  </si>
  <si>
    <t>Los ítems que integran esta subescala representan una muestra representativa de las</t>
  </si>
  <si>
    <t>principales manifestaciones clínicas de una trastorno de tipo depresivo: estado de ánimo</t>
  </si>
  <si>
    <t>disfórico, falta de motivación, poca energía vital, sentimientos de desesperanza, ideaciones</t>
  </si>
  <si>
    <t>suicidas.</t>
  </si>
  <si>
    <t>SCL-90-R.</t>
  </si>
  <si>
    <t>Adaptación UBA. CONICET. 1999/2008.</t>
  </si>
  <si>
    <t>Prof. M.M. Casullo.</t>
  </si>
  <si>
    <t>ANSIEDAD</t>
  </si>
  <si>
    <t>Evalúa la presencia de signos generales de ansiedad tales como nerviosismo, tensión,</t>
  </si>
  <si>
    <t>ataques de pánico, miedos.</t>
  </si>
  <si>
    <t>HOSTILIDAD</t>
  </si>
  <si>
    <t>Esta dimensión hace referencia a pensamientos, sentimientos y acciones característicos de la</t>
  </si>
  <si>
    <t>presencia de afectos negativos de enojo.</t>
  </si>
  <si>
    <t>ANSIEDAD FÓBICA</t>
  </si>
  <si>
    <t>Este malestar alude a una respuesta persistente de miedo ( a personas específicas, lugares,</t>
  </si>
  <si>
    <t>objetos, situaciones) que es en sí misma irracional y desproporcionada en relación con el</t>
  </si>
  <si>
    <t>estímulo que la provoca.</t>
  </si>
  <si>
    <t>IDEACIÓN PARANOIDE</t>
  </si>
  <si>
    <t>Evalúa comportamientos paranoides fundamentalmente en tanto desórdenes del pensamiento:</t>
  </si>
  <si>
    <t>pensamiento proyectivo, suspicacia, temor a la pérdida de autonomía.</t>
  </si>
  <si>
    <t>PSICOTICISMO</t>
  </si>
  <si>
    <t>Esta dimensión se ha construido con la intensión que represente el constructo en tanto</t>
  </si>
  <si>
    <t>dimensión contínua de la experiencia humana. Incluye síntomas referidos a estados de</t>
  </si>
  <si>
    <t>soledad, estilo de vida esquizoide, alucinaciones y control del pensamiento.</t>
  </si>
  <si>
    <t>ITEMES ADICIONALES.</t>
  </si>
  <si>
    <t>El SCL-90-R incluye siete ítems que no se incorporan a las nueve dimensiones ya</t>
  </si>
  <si>
    <t>mencionadas pero que tienen relevancia clínica:</t>
  </si>
  <si>
    <t>19: Poco apetito</t>
  </si>
  <si>
    <t>44: Problemas para dormir</t>
  </si>
  <si>
    <t>59: Pensamientos acerca de la muerte o el morirse</t>
  </si>
  <si>
    <t>60: Comer en exceso</t>
  </si>
  <si>
    <t>64: Despertarse muy temprano.</t>
  </si>
  <si>
    <t>66: Sueño intranquilo.</t>
  </si>
  <si>
    <t>89: Sentimientos de culpa.</t>
  </si>
  <si>
    <t>INDICES GLOBALES.</t>
  </si>
  <si>
    <t>1) Indice de Severidad Global (IGS): es un muy buen indicador del nivel actual de la</t>
  </si>
  <si>
    <t>severidad del malestar. Combina el número de síntomas reconocidos como presentes con la</t>
  </si>
  <si>
    <t>intensidad del malestar percibido.</t>
  </si>
  <si>
    <t>2) Total de síntomas positivos (TSP): se estima contando el total de ítems que tienen</t>
  </si>
  <si>
    <t>una respuesta positiva (mayor que cero). En sujetos de población general, puntuaciones brutas</t>
  </si>
  <si>
    <t>iguales o inferiores a 3 en varones e iguales o inferiores a 4 en mujeres son consideradas</t>
  </si>
  <si>
    <t>como indicadoras de un intento consciente de mostrarse mejores de lo que realmente están.</t>
  </si>
  <si>
    <t>(imagen positiva).</t>
  </si>
  <si>
    <t>Puntuaciones brutas superiores a 50 en varones y a 60 en mujeres indican lo contrario:</t>
  </si>
  <si>
    <t>tendencia a exagerar sus patologías.</t>
  </si>
  <si>
    <t>3) Índice de Malestar Sintomático Positivo ( IMSP): pretende evaluar el estilo de</t>
  </si>
  <si>
    <t>respuesta indicando si la persona tiende a exagerar o a minimizar los malestares que lo</t>
  </si>
  <si>
    <t>aquejan.</t>
  </si>
  <si>
    <t>Puntuaciones extremas en este índice también sugieren patrones de respuestas que deben</t>
  </si>
  <si>
    <t>analizarse en términos de actitudes de fingimiento.</t>
  </si>
  <si>
    <t>En el Manual en el original inglés de la prueba se consignan estudios sobre su Validez</t>
  </si>
  <si>
    <t>Estructural y Convergente así como acerca de su consistencia interna y fiabilidad test-retest.</t>
  </si>
  <si>
    <t>(Derogatis, 1994. Minnesota. National Computer System).</t>
  </si>
  <si>
    <t>Evaluación e interpretación del inventario</t>
  </si>
  <si>
    <t>1) Para cada una de las respuestas a los ítems, se asignarán los siguientes valores:</t>
  </si>
  <si>
    <t>Nada: 0 Muy poco: 1 Poco: 2 Bastante: 3 Mucho: 4</t>
  </si>
  <si>
    <t>Con esos cinco números se completará en la hoja para el cálculo de los puntajes el</t>
  </si>
  <si>
    <t>valor que le corresponde a cada respuesta. Por ejemplo, si al ítem nro. 1 el examinado</t>
  </si>
  <si>
    <t>marcó una cruz en la columna encabezada con la opción “ poco” , donde dice en la</t>
  </si>
  <si>
    <t>hoja de cálculo donde dice 1…… se deberá completar con en número dos: 1..2.. De la</t>
  </si>
  <si>
    <t>misma forma se procede con las 90 respuestas.</t>
  </si>
  <si>
    <t>2) Cada una de las nueve dimensiones primarias tiene sus ítems en un mismo renglón de</t>
  </si>
  <si>
    <t>la hoja para el cálculo de puntajes. Para cada dimensión se sumarán los valores de</t>
  </si>
  <si>
    <t>todas las respuestas que la componen, y el resultado se escribirá en donde dice “total”.</t>
  </si>
  <si>
    <t>Luego se contará el número de respuestas en dicha dimensión y se anotará en “Nº</t>
  </si>
  <si>
    <t>resp.”. Finalmente se calculará el promedio dividiendo el número “total” por el de “Nº</t>
  </si>
  <si>
    <t>resp.”. Dicho valor se escribirá en “promedio”.</t>
  </si>
  <si>
    <t>Ejemplo:</t>
  </si>
  <si>
    <t>SOMATIZACIONES (SOM):</t>
  </si>
  <si>
    <t>1.2 4.1 12.0 27.2 40.1 42.2 48.3 49.1 52.0 53.1 56.2 58.2.􀃆</t>
  </si>
  <si>
    <t>3) Los ítems adicionales no conforman una dimensión, pero a fin de luego poder calcular</t>
  </si>
  <si>
    <t>el índice de severidad global, se realizará la sumatoria como se vino haciendo para</t>
  </si>
  <si>
    <t>obtener el total, sin hacer el promedio.</t>
  </si>
  <si>
    <t>4) Para calcular el índice de severidad global (IGS), se suman los valores de todas las</t>
  </si>
  <si>
    <t>respuestas y se divide por la cantidad de respuestas dadas (90 si respondió a</t>
  </si>
  <si>
    <t>todas).Una manera práctica de hacer esto es sumando el valor de las casillas “total” de</t>
  </si>
  <si>
    <t>las nueve dimensiones y de las respuestas adicionales y dividir ese valor por el número</t>
  </si>
  <si>
    <t>de respuestas dadas.</t>
  </si>
  <si>
    <t>5) El total de síntomas positivos (TSP) es la cantidad de respuestas distintas de cero que</t>
  </si>
  <si>
    <t>dio el examinado</t>
  </si>
  <si>
    <t>6) Indice de Malestar Sintomático Positivo (IMSP) se calcula haciendo la misma suma que</t>
  </si>
  <si>
    <t>para IGS pero esta vez en vez de dividir por la cantidad de respuestas se divide por la</t>
  </si>
  <si>
    <t>cantidad de respuestas dadas distintas de cero , vale decir por TSP</t>
  </si>
  <si>
    <t>7) Estos doce puntajes brutos se transformarán en un puntaje T normalizado para su</t>
  </si>
  <si>
    <t>adecuada lectura. Dichos puntajes se volcarán en el cuadro correspondiente de la hoja</t>
  </si>
  <si>
    <t>de cálculos:</t>
  </si>
  <si>
    <t>PUNTAJES T SCL 90-R</t>
  </si>
  <si>
    <t>SOM OBS SI DEP ANS HOS FOB PAR PSIC IGS TSP IMSP</t>
  </si>
  <si>
    <t>8) Los puntajes T normalizados superiores a 63 puntos se consideran elevados (equivalen</t>
  </si>
  <si>
    <t>a un percentil de 90), lo que indica una persona en riesgo.</t>
  </si>
  <si>
    <t>9) Puntajes brutos de TSP menores o iguales a 6 en varones y 13 en mujeres</t>
  </si>
  <si>
    <t>(adolescentes), pueden indicar tendencia a mostrarse exageradamente libre de</t>
  </si>
  <si>
    <t>síntomas. Valores brutos de TSP superiores a 71 en varones y 75 en mujeres</t>
  </si>
  <si>
    <t>indicarían por el contrario malestar exagerado o dramatización.</t>
  </si>
  <si>
    <t>10) Valores extremos en IMSP podrían indicar un intento deliberado en mostrarse</t>
  </si>
  <si>
    <t>demasiado bien o mal. Un IMSP menor a 1,00 (bruto) con un TSP muy bajo (menos o</t>
  </si>
  <si>
    <t>igual a 3 en hombres y 4 en mujeres adultos) en general indica tendencia a mostrarse</t>
  </si>
  <si>
    <t>libre de problemas psicológicos. IMSP mayores a 3,20 en adultos sugiere dramatismo.</t>
  </si>
  <si>
    <t>Mayores a 3,50 extremo dramatismo.</t>
  </si>
  <si>
    <t>A continuación le presentamos una lista de problemas que tiene la gente.</t>
  </si>
  <si>
    <t>No hay respuestas buenas o malas: todas sirven. No deje frases sin responder.</t>
  </si>
  <si>
    <t xml:space="preserve">Puesto a cubrir: </t>
  </si>
  <si>
    <t>DNI:</t>
  </si>
  <si>
    <t>Apellido :</t>
  </si>
  <si>
    <t>Nombre:</t>
  </si>
  <si>
    <t>Teléfono:</t>
  </si>
  <si>
    <t>Fecha de nacimiento:</t>
  </si>
  <si>
    <t>Nº item</t>
  </si>
  <si>
    <t xml:space="preserve">NADA - MUY POCO - POCO – BASTANTE – MUCHO. </t>
  </si>
  <si>
    <t xml:space="preserve">Tiene cinco (5) posibilidades de respuesta: </t>
  </si>
  <si>
    <t xml:space="preserve">Lea cada uno de ellos y marque su respuesta con una cruz (X) en la casilla correspondiente, pensando en cómo se sintió, en qué medida ese problema le ha preocupado o molestado durante la última semana (7 días). </t>
  </si>
  <si>
    <t>1) Se calculan las puntuaciones directas o brutas para cada una de las nueve dimensiones y los tres índices.
2) Sumar los valores asignados a cada item y dividir ese total por el número de ítems respondidos.
3) Se convierten esas puntuaciones directas en puntuaciones T normalizadas. usando tabla.
4) Se considera indicativa de una persona EN RIESGO toda puntuación T normalizada igual o superior a 63.</t>
  </si>
  <si>
    <t>Baremo:</t>
  </si>
  <si>
    <t>Masculino Adultos (25-60 años). Buenos Aires población general</t>
  </si>
  <si>
    <t>Femenino Adultos (25-60 años). Buenos Aires población general</t>
  </si>
  <si>
    <t>Puntajes T normalizados. Población general Buenos Aires. N: 381 25 a 60 años . Casullo – Pérez (2008)</t>
  </si>
  <si>
    <t xml:space="preserve">Femenino Adultos </t>
  </si>
  <si>
    <t>Puntajes T SCL 90-R (Femenino Adultos)</t>
  </si>
  <si>
    <t>Puntajes T normalizados. Población general Buenos Aires. N: 275 12 a 19 años . Casullo – Pérez (2006)</t>
  </si>
  <si>
    <t xml:space="preserve">Masculino Adolescentes </t>
  </si>
  <si>
    <t>Puntajes T SCL 90-R (Femenino Adolescentes)</t>
  </si>
  <si>
    <t>Puntajes T SCL 90-R (Masculino Adolescentes)</t>
  </si>
  <si>
    <t>Puntajes T normalizados. Población general Buenos Aires. N: 313 12 a 19 años. Casullo – Pérez (2006)</t>
  </si>
  <si>
    <t xml:space="preserve">Femenino Adolescentes </t>
  </si>
  <si>
    <t>Respuesta</t>
  </si>
  <si>
    <t>DNI</t>
  </si>
  <si>
    <t xml:space="preserve">Apellido y Nombre </t>
  </si>
  <si>
    <t>Teléfono</t>
  </si>
  <si>
    <t>N</t>
  </si>
  <si>
    <t>E</t>
  </si>
  <si>
    <t>O</t>
  </si>
  <si>
    <t>A</t>
  </si>
  <si>
    <t>C</t>
  </si>
  <si>
    <t>Puntajes NEO Fii</t>
  </si>
  <si>
    <t xml:space="preserve">Items sin responder </t>
  </si>
  <si>
    <t xml:space="preserve">Varones + Mujeres </t>
  </si>
  <si>
    <t>Trazado</t>
  </si>
  <si>
    <t>Marcado</t>
  </si>
  <si>
    <t>Punteado</t>
  </si>
  <si>
    <t>Copiado</t>
  </si>
  <si>
    <t>Localizado</t>
  </si>
  <si>
    <t>Recuento</t>
  </si>
  <si>
    <t xml:space="preserve">Varones </t>
  </si>
  <si>
    <t>Laberinto</t>
  </si>
  <si>
    <t>Valoracion</t>
  </si>
  <si>
    <t xml:space="preserve">Valoración </t>
  </si>
  <si>
    <t xml:space="preserve">SCL 90 </t>
  </si>
  <si>
    <t>Baremo SCL 90</t>
  </si>
  <si>
    <t>Fecha nac.</t>
  </si>
  <si>
    <t>Puntajes T NEO Fii (Baremo Varones)</t>
  </si>
  <si>
    <t>Puntajes T SCL 90-R (Baremo Masculino Adultos)</t>
  </si>
  <si>
    <t>NEO - Fii</t>
  </si>
  <si>
    <t xml:space="preserve">Datos Personales </t>
  </si>
  <si>
    <t>Centiles Mac Quarrie</t>
  </si>
  <si>
    <t xml:space="preserve">Dia </t>
  </si>
  <si>
    <t>Grupo</t>
  </si>
  <si>
    <t>Hora P.Técnica</t>
  </si>
  <si>
    <t xml:space="preserve">Hora Psico </t>
  </si>
  <si>
    <t xml:space="preserve">Puntaje final </t>
  </si>
  <si>
    <t>Puesto</t>
  </si>
  <si>
    <t>Observaciones destacadas</t>
  </si>
  <si>
    <t>Observaciones</t>
  </si>
  <si>
    <t xml:space="preserve">Nombre </t>
  </si>
  <si>
    <t xml:space="preserve">Apellido </t>
  </si>
  <si>
    <t>Codigo participante</t>
  </si>
  <si>
    <t>Codigo Participante</t>
  </si>
  <si>
    <t>Escalas</t>
  </si>
  <si>
    <t>valoracion</t>
  </si>
  <si>
    <t>Evalúa la presencia de malestares que la persona percibe relacionados con diferentes
disfunciones corporales (cardiovasculares, gastrointestinales, respiratorios).</t>
  </si>
  <si>
    <t>Incluye síntomas que se identifican con el síndrome clínico del mismo nombre:
Pensamientos, acciones e impulsos que son vivenciados como imposibles de evitar o no
deseados.</t>
  </si>
  <si>
    <t>Se focaliza en detectar la presencia de sentimientos de inferioridad e inadecuación, en
especial cuando la persona se compara con sus semejantes</t>
  </si>
  <si>
    <t>Los ítems que integran esta subescala representan una muestra representativa de las
principales manifestaciones clínicas de una trastorno de tipo depresivo: estado de ánimo
disfórico, falta de motivación, poca energía vital, sentimientos de desesperanza, ideaciones
suicidas.</t>
  </si>
  <si>
    <t>Evalúa la presencia de signos generales de ansiedad tales como nerviosismo, tensión,
ataques de pánico, miedos.</t>
  </si>
  <si>
    <t>Esta dimensión hace referencia a pensamientos, sentimientos y acciones característicos de la
presencia de afectos negativos de enojo.</t>
  </si>
  <si>
    <t>Este malestar alude a una respuesta persistente de miedo ( a personas específicas, lugares,
objetos, situaciones) que es en sí misma irracional y desproporcionada en relación con el
estímulo que la provoca.</t>
  </si>
  <si>
    <t>Evalúa comportamientos paranoides fundamentalmente en tanto desórdenes del pensamiento:
pensamiento proyectivo, suspicacia, temor a la pérdida de autonomía.</t>
  </si>
  <si>
    <t>Esta dimensión se ha construido con la intensión que represente el constructo en tanto
dimensión contínua de la experiencia humana. Incluye síntomas referidos a estados de
soledad, estilo de vida esquizoide, alucinaciones y control del pensamiento.</t>
  </si>
  <si>
    <t>Descripcion editada</t>
  </si>
  <si>
    <t>presencia de malestares  relacionados con diferentes
disfunciones corporales (cardiovasculares, gastrointestinales, respiratorios).</t>
  </si>
  <si>
    <t xml:space="preserve">Conclucion </t>
  </si>
  <si>
    <t>presencia de Pensamientos, acciones e impulsos que son vivenciados como imposibles de evitar o no
deseados.</t>
  </si>
  <si>
    <t xml:space="preserve"> presencia de sentimientos de inferioridad e inadecuación, en
especial cuando la persona se compara con sus semejantes</t>
  </si>
  <si>
    <t>presencia de estado de ánimo
disfórico, falta de motivación, poca energía vital, sentimientos de desesperanza, ideaciones
suicidas.</t>
  </si>
  <si>
    <t>presencia de signos generales de ansiedad tales como nerviosismo, tensión,
ataques de pánico, miedos.</t>
  </si>
  <si>
    <t>presencia de pensamientos, sentimientos y acciones característicos  de afectos negativos de enojo.</t>
  </si>
  <si>
    <t>presencia de una respuesta persistente de miedo ( a personas específicas, lugares,
objetos, situaciones) que es en sí misma irracional y desproporcionada en relación con el
estímulo que la provoca.</t>
  </si>
  <si>
    <t>presencia de comportamientos paranoides fundamentalmente en tanto desórdenes del pensamiento:
pensamiento proyectivo, suspicacia, temor a la pérdida de autonomía.</t>
  </si>
  <si>
    <t>presencia de síntomas referidos a estados de
soledad, estilo de vida esquizoide, alucinaciones y control del pensamiento.</t>
  </si>
  <si>
    <t>es un muy buen indicador del nivel actual de la
severidad del malestar. Combina el número de síntomas reconocidos como presentes con la
intensidad del malestar percibido.</t>
  </si>
  <si>
    <t>nivel de 
severidad del malestar.</t>
  </si>
  <si>
    <t>se estima contando el total de ítems que tienen
una respuesta positiva (mayor que cero). En sujetos de población general, puntuaciones brutas
iguales o inferiores a 3 en varones e iguales o inferiores a 4 en mujeres son consideradas
como indicadoras de un intento consciente de mostrarse mejores de lo que realmente están.
(imagen positiva).
Puntuaciones brutas superiores a 50 en varones y a 60 en mujeres indican lo contrario:
tendencia a exagerar sus patologías.</t>
  </si>
  <si>
    <t>Estilo de respuesta del sujeto:</t>
  </si>
  <si>
    <t>Indice de Severidad Global (IGS):</t>
  </si>
  <si>
    <t>SOMATIZACIONES:</t>
  </si>
  <si>
    <t>OBSESIONES Y COMPULSIONES:</t>
  </si>
  <si>
    <t>SENSITIVIDAD INTERPERSONAL:</t>
  </si>
  <si>
    <t>DEPRESIÓN:</t>
  </si>
  <si>
    <t>ANSIEDAD:</t>
  </si>
  <si>
    <t>HOSTILIDAD:</t>
  </si>
  <si>
    <t>ANSIEDAD FÓBICA:</t>
  </si>
  <si>
    <t>IDEACIÓN PARANOIDE:</t>
  </si>
  <si>
    <t>PSICOTICISMO:</t>
  </si>
  <si>
    <t>Descripciion completa</t>
  </si>
  <si>
    <t>Nombre completo Escalas</t>
  </si>
  <si>
    <t>FEMENINO adultos</t>
  </si>
  <si>
    <t>Puntajes T normalizados. Población general Buenos Aires. N: 381 25 a 60 años . Casullo – Pérez (2008). Femenino Adultos</t>
  </si>
  <si>
    <t>Puntajes T normalizados. Población general Buenos Aires. N: 379 25-60 años. Casullo – Pérez (2008). Masculino Adultos</t>
  </si>
  <si>
    <t xml:space="preserve">1. A menudo me siento inferior a los demás </t>
  </si>
  <si>
    <t>2. Soy una persona Alegre y animosa</t>
  </si>
  <si>
    <t>3. A veces, cuando leo poesía o una obra de arte, siento una profunda emoción o excitación</t>
  </si>
  <si>
    <t>4. Tiendo a pensar lo mejor de la gente.</t>
  </si>
  <si>
    <t>5. Parece que nunca soy capaz de organizarme</t>
  </si>
  <si>
    <t>6. Rara vez me siento con miedo o ansioso.</t>
  </si>
  <si>
    <t>7. Disfruto mucho hablando con la gente.</t>
  </si>
  <si>
    <t>8. La poesía tiene poco o ningún efecto sobre mí.</t>
  </si>
  <si>
    <t>9. A veces intimido o adulo a la gente para que haga lo que yo quiero.</t>
  </si>
  <si>
    <t>10. Tengo unos objetivos claros y me esfuerzo por alcanzarlos de forma ordenada.</t>
  </si>
  <si>
    <t>11. A veces me vienen a la mente pensamientos aterradores.</t>
  </si>
  <si>
    <t>12. Disfruto de las fiestas en las que hay mucha gente.</t>
  </si>
  <si>
    <t>13. Tengo una gran variedad de intereses intelectuales.</t>
  </si>
  <si>
    <t>14. A veces consigo con artimañas que la gente haga lo que yo quiero.</t>
  </si>
  <si>
    <t>15. Trabajo mucho para conseguir mis metas.</t>
  </si>
  <si>
    <t>16. A veces me parece que no valgo absolutamente nada.</t>
  </si>
  <si>
    <t>17. No me considero especialmente alegre.</t>
  </si>
  <si>
    <t>18. Me despiertan la curiosidad las formas que encuentro en el arte y en la naturaleza.</t>
  </si>
  <si>
    <t>19. Si alguien empieza a pelearse conmigo, yo también estoy dispuesto a pelear.</t>
  </si>
  <si>
    <t>20. Tengo mucha autodisciplina.</t>
  </si>
  <si>
    <t>21. A veces las cosas me parecen demasiado sombrías y sin esperanza.</t>
  </si>
  <si>
    <t>22. Me gusta tener mucha gente alrededor.</t>
  </si>
  <si>
    <t>23. Encuentro aburridas las discusiones filosóficas.</t>
  </si>
  <si>
    <t>24. Cuando me han ofendido, lo que intento es perdonar y olvidar.</t>
  </si>
  <si>
    <t>25. Antes de emprender una acción, siempre considero sus consecuencias.</t>
  </si>
  <si>
    <t>26. Cuando estoy bajo un fuerte estrés, a veces siento que me voy a  desmoronar.</t>
  </si>
  <si>
    <t>27. No soy tan vivo ni tan animado como otras personas.</t>
  </si>
  <si>
    <t>28. Tengo mucha fantasía.</t>
  </si>
  <si>
    <t>29. Mi primera reacción es confiar en la gente.</t>
  </si>
  <si>
    <t>30. Trato de hacer mis tareas con cuidado, para que no haya que hacerlas otra vez.</t>
  </si>
  <si>
    <t>31. A menudo me siento tenso e inquieto.</t>
  </si>
  <si>
    <t>32. Soy una persona muy activa.</t>
  </si>
  <si>
    <t>33. Me gusta concentrarme en un ensueño o fantasía y, dejándolo crecer y desarrollarse, explorar todas sus posibilidades.</t>
  </si>
  <si>
    <t>34. Algunas persona piensan de mí que soy frío y calculador.</t>
  </si>
  <si>
    <t>35. Me esfuerzo por llegar a la perfección en todo lo que hago.</t>
  </si>
  <si>
    <t>36. A veces me he sentido amargado y resentido.</t>
  </si>
  <si>
    <t>37. En reuniones, por lo general prefiero que hablen otros.</t>
  </si>
  <si>
    <t>38. Tengo poco interés en andar pensando sobre la naturaleza del universo o de la condición humana.</t>
  </si>
  <si>
    <t>39. Tengo mucha fe en la naturaleza humana.</t>
  </si>
  <si>
    <t>40. Soy eficiente y eficaz en mi trabajo.</t>
  </si>
  <si>
    <t>41. Soy bastante estable emocionalmente.</t>
  </si>
  <si>
    <t>42. Huyo de las multitudes.</t>
  </si>
  <si>
    <t>43. A veces pierdo el interés cuando la gente habla de cuestiones muy abstractas y teóricas.</t>
  </si>
  <si>
    <t>44. Trato de ser humilde.</t>
  </si>
  <si>
    <t>45. Soy una persona productiva, que siempre termina su trabajo.</t>
  </si>
  <si>
    <t>46. Rara vez estoy triste o deprimido.</t>
  </si>
  <si>
    <t>47. A veces reboso de felicidad.</t>
  </si>
  <si>
    <t>48. Experimento una gran variedad de emociones o sentimientos.</t>
  </si>
  <si>
    <t>49. Creo que la mayoría de la gente con la que trato es honrada y fidedigna.</t>
  </si>
  <si>
    <t>50. En ocasiones primero actúo y luego pienso.</t>
  </si>
  <si>
    <t>51. A veces hago las cosas impulsivamente y luego me arrepiento.</t>
  </si>
  <si>
    <t>52. Me gusta estar donde está la acción.</t>
  </si>
  <si>
    <t>53. Con frecuencias pruebo comidas nuevas o de otros países.</t>
  </si>
  <si>
    <t>54. Puedo ser sarcástico y mordaz si es necesario.</t>
  </si>
  <si>
    <t>55. Hay tantas pequeñas cosas que hacer que a veces lo que hago es no atender a ninguna.</t>
  </si>
  <si>
    <t>56. Es difícil que yo pierda los estribos.</t>
  </si>
  <si>
    <t>57. No me gusta mucho charlar con la gente.</t>
  </si>
  <si>
    <t>58. Rara vez experimento emociones fuertes.</t>
  </si>
  <si>
    <t>59. Los mendigos no me inspiran simpatía.</t>
  </si>
  <si>
    <t>60. Muchas veces no preparo de antemano lo que tengo que hacer.</t>
  </si>
  <si>
    <t xml:space="preserve">Puntajes T SCL 90-R </t>
  </si>
  <si>
    <t>c</t>
  </si>
  <si>
    <t>d</t>
  </si>
  <si>
    <t>b</t>
  </si>
  <si>
    <t>a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</si>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</sst>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theme="4" tint="0.79998168889431442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NumberFormat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2" borderId="21" xfId="0" applyFont="1" applyFill="1" applyBorder="1" applyAlignment="1"/>
    <xf numFmtId="0" fontId="0" fillId="0" borderId="0" xfId="0" applyAlignment="1">
      <alignment wrapText="1"/>
    </xf>
    <xf numFmtId="0" fontId="3" fillId="2" borderId="9" xfId="0" applyFont="1" applyFill="1" applyBorder="1" applyAlignment="1"/>
    <xf numFmtId="0" fontId="0" fillId="0" borderId="0" xfId="0" applyBorder="1" applyAlignment="1"/>
    <xf numFmtId="0" fontId="1" fillId="5" borderId="44" xfId="0" applyFont="1" applyFill="1" applyBorder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6" xfId="0" applyBorder="1"/>
    <xf numFmtId="0" fontId="0" fillId="0" borderId="4" xfId="0" applyBorder="1"/>
    <xf numFmtId="0" fontId="0" fillId="0" borderId="9" xfId="0" applyBorder="1"/>
    <xf numFmtId="0" fontId="0" fillId="0" borderId="21" xfId="0" applyBorder="1"/>
    <xf numFmtId="0" fontId="0" fillId="0" borderId="47" xfId="0" applyBorder="1"/>
    <xf numFmtId="0" fontId="0" fillId="0" borderId="48" xfId="0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8" fillId="5" borderId="0" xfId="0" applyFont="1" applyFill="1"/>
    <xf numFmtId="0" fontId="7" fillId="11" borderId="4" xfId="0" applyFont="1" applyFill="1" applyBorder="1"/>
    <xf numFmtId="0" fontId="7" fillId="5" borderId="4" xfId="0" applyFont="1" applyFill="1" applyBorder="1" applyAlignment="1">
      <alignment horizontal="center"/>
    </xf>
    <xf numFmtId="0" fontId="9" fillId="12" borderId="53" xfId="0" applyFont="1" applyFill="1" applyBorder="1" applyAlignment="1">
      <alignment horizontal="center"/>
    </xf>
    <xf numFmtId="0" fontId="9" fillId="12" borderId="53" xfId="0" applyFont="1" applyFill="1" applyBorder="1"/>
    <xf numFmtId="0" fontId="9" fillId="12" borderId="44" xfId="0" applyFont="1" applyFill="1" applyBorder="1"/>
    <xf numFmtId="0" fontId="9" fillId="12" borderId="44" xfId="0" applyFont="1" applyFill="1" applyBorder="1" applyAlignment="1">
      <alignment horizontal="center"/>
    </xf>
    <xf numFmtId="0" fontId="9" fillId="12" borderId="44" xfId="0" applyFont="1" applyFill="1" applyBorder="1" applyAlignment="1"/>
    <xf numFmtId="0" fontId="9" fillId="12" borderId="54" xfId="0" applyFont="1" applyFill="1" applyBorder="1" applyAlignment="1"/>
    <xf numFmtId="0" fontId="10" fillId="0" borderId="0" xfId="0" applyFont="1"/>
    <xf numFmtId="0" fontId="10" fillId="0" borderId="0" xfId="0" applyFont="1" applyAlignment="1">
      <alignment horizontal="center"/>
    </xf>
    <xf numFmtId="0" fontId="9" fillId="12" borderId="44" xfId="0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10" fillId="5" borderId="0" xfId="0" applyFont="1" applyFill="1" applyBorder="1" applyAlignment="1">
      <alignment horizontal="left"/>
    </xf>
    <xf numFmtId="0" fontId="0" fillId="0" borderId="0" xfId="0" applyProtection="1">
      <protection locked="0"/>
    </xf>
    <xf numFmtId="0" fontId="3" fillId="2" borderId="21" xfId="0" applyFont="1" applyFill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3" fillId="2" borderId="9" xfId="0" applyFont="1" applyFill="1" applyBorder="1" applyAlignment="1" applyProtection="1">
      <protection locked="0"/>
    </xf>
    <xf numFmtId="0" fontId="4" fillId="0" borderId="23" xfId="0" applyFont="1" applyBorder="1" applyAlignment="1" applyProtection="1">
      <alignment horizontal="left" vertical="top" wrapText="1"/>
      <protection locked="0"/>
    </xf>
    <xf numFmtId="0" fontId="4" fillId="0" borderId="24" xfId="0" applyFont="1" applyBorder="1" applyAlignment="1" applyProtection="1">
      <alignment horizontal="left" vertical="top" wrapText="1"/>
      <protection locked="0"/>
    </xf>
    <xf numFmtId="0" fontId="4" fillId="0" borderId="22" xfId="0" applyFont="1" applyBorder="1" applyAlignment="1" applyProtection="1">
      <alignment horizontal="left" vertical="top" wrapText="1"/>
      <protection locked="0"/>
    </xf>
    <xf numFmtId="0" fontId="6" fillId="4" borderId="39" xfId="0" applyNumberFormat="1" applyFont="1" applyFill="1" applyBorder="1" applyAlignment="1" applyProtection="1">
      <alignment horizontal="center"/>
      <protection locked="0"/>
    </xf>
    <xf numFmtId="0" fontId="5" fillId="4" borderId="9" xfId="0" applyFont="1" applyFill="1" applyBorder="1" applyAlignment="1" applyProtection="1">
      <alignment textRotation="90"/>
      <protection locked="0"/>
    </xf>
    <xf numFmtId="0" fontId="5" fillId="4" borderId="37" xfId="0" applyFont="1" applyFill="1" applyBorder="1" applyAlignment="1" applyProtection="1">
      <alignment textRotation="90"/>
      <protection locked="0"/>
    </xf>
    <xf numFmtId="0" fontId="0" fillId="3" borderId="40" xfId="0" applyNumberFormat="1" applyFont="1" applyFill="1" applyBorder="1" applyProtection="1">
      <protection locked="0"/>
    </xf>
    <xf numFmtId="0" fontId="0" fillId="5" borderId="4" xfId="0" applyFont="1" applyFill="1" applyBorder="1" applyProtection="1">
      <protection locked="0"/>
    </xf>
    <xf numFmtId="0" fontId="0" fillId="3" borderId="41" xfId="0" applyFont="1" applyFill="1" applyBorder="1" applyProtection="1">
      <protection locked="0"/>
    </xf>
    <xf numFmtId="0" fontId="0" fillId="0" borderId="42" xfId="0" applyFon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8" xfId="0" applyNumberFormat="1" applyFont="1" applyBorder="1" applyProtection="1">
      <protection locked="0"/>
    </xf>
    <xf numFmtId="0" fontId="2" fillId="0" borderId="25" xfId="0" applyFont="1" applyBorder="1" applyProtection="1">
      <protection locked="0"/>
    </xf>
    <xf numFmtId="0" fontId="0" fillId="0" borderId="19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20" xfId="0" applyBorder="1" applyProtection="1">
      <protection locked="0"/>
    </xf>
    <xf numFmtId="0" fontId="0" fillId="3" borderId="38" xfId="0" applyNumberFormat="1" applyFont="1" applyFill="1" applyBorder="1" applyProtection="1">
      <protection locked="0"/>
    </xf>
    <xf numFmtId="0" fontId="2" fillId="0" borderId="26" xfId="0" applyFont="1" applyBorder="1" applyProtection="1">
      <protection locked="0"/>
    </xf>
    <xf numFmtId="0" fontId="1" fillId="0" borderId="49" xfId="0" applyFont="1" applyBorder="1" applyProtection="1">
      <protection locked="0"/>
    </xf>
    <xf numFmtId="0" fontId="1" fillId="0" borderId="48" xfId="0" applyFont="1" applyBorder="1" applyProtection="1">
      <protection locked="0"/>
    </xf>
    <xf numFmtId="0" fontId="1" fillId="0" borderId="50" xfId="0" applyFont="1" applyBorder="1" applyProtection="1">
      <protection locked="0"/>
    </xf>
    <xf numFmtId="0" fontId="1" fillId="0" borderId="28" xfId="0" applyFont="1" applyBorder="1" applyProtection="1">
      <protection locked="0"/>
    </xf>
    <xf numFmtId="0" fontId="1" fillId="0" borderId="29" xfId="0" applyFont="1" applyBorder="1" applyProtection="1">
      <protection locked="0"/>
    </xf>
    <xf numFmtId="0" fontId="1" fillId="0" borderId="30" xfId="0" applyFont="1" applyBorder="1" applyProtection="1">
      <protection locked="0"/>
    </xf>
    <xf numFmtId="0" fontId="2" fillId="0" borderId="46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1" xfId="0" applyBorder="1" applyProtection="1"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31" xfId="0" applyFont="1" applyBorder="1" applyAlignment="1" applyProtection="1">
      <alignment horizontal="center"/>
      <protection locked="0"/>
    </xf>
    <xf numFmtId="0" fontId="2" fillId="0" borderId="32" xfId="0" applyFont="1" applyBorder="1" applyAlignment="1" applyProtection="1">
      <alignment horizontal="center"/>
      <protection locked="0"/>
    </xf>
    <xf numFmtId="0" fontId="2" fillId="0" borderId="33" xfId="0" applyFont="1" applyBorder="1" applyAlignment="1" applyProtection="1">
      <alignment horizontal="center"/>
      <protection locked="0"/>
    </xf>
    <xf numFmtId="0" fontId="2" fillId="0" borderId="19" xfId="0" applyFont="1" applyBorder="1" applyAlignment="1" applyProtection="1">
      <alignment horizontal="center"/>
      <protection locked="0"/>
    </xf>
    <xf numFmtId="0" fontId="2" fillId="0" borderId="27" xfId="0" applyFont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43" xfId="0" applyNumberFormat="1" applyFont="1" applyBorder="1" applyProtection="1">
      <protection locked="0"/>
    </xf>
    <xf numFmtId="0" fontId="0" fillId="0" borderId="0" xfId="0" applyNumberFormat="1" applyProtection="1">
      <protection locked="0"/>
    </xf>
    <xf numFmtId="0" fontId="6" fillId="7" borderId="39" xfId="0" applyNumberFormat="1" applyFont="1" applyFill="1" applyBorder="1" applyAlignment="1" applyProtection="1">
      <alignment horizontal="center"/>
      <protection locked="0"/>
    </xf>
    <xf numFmtId="0" fontId="5" fillId="7" borderId="9" xfId="0" applyFont="1" applyFill="1" applyBorder="1" applyAlignment="1" applyProtection="1">
      <alignment textRotation="90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4" xfId="0" applyFill="1" applyBorder="1" applyProtection="1">
      <protection locked="0"/>
    </xf>
    <xf numFmtId="0" fontId="0" fillId="6" borderId="4" xfId="0" applyFill="1" applyBorder="1" applyProtection="1">
      <protection locked="0"/>
    </xf>
    <xf numFmtId="0" fontId="0" fillId="3" borderId="45" xfId="0" applyFont="1" applyFill="1" applyBorder="1" applyProtection="1">
      <protection locked="0"/>
    </xf>
    <xf numFmtId="0" fontId="0" fillId="0" borderId="46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48" xfId="0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4" xfId="0" applyFont="1" applyBorder="1" applyProtection="1">
      <protection locked="0"/>
    </xf>
    <xf numFmtId="0" fontId="3" fillId="2" borderId="9" xfId="0" applyFont="1" applyFill="1" applyBorder="1" applyAlignment="1" applyProtection="1">
      <alignment horizontal="right"/>
    </xf>
    <xf numFmtId="14" fontId="10" fillId="0" borderId="0" xfId="0" applyNumberFormat="1" applyFont="1"/>
    <xf numFmtId="14" fontId="3" fillId="2" borderId="9" xfId="0" applyNumberFormat="1" applyFont="1" applyFill="1" applyBorder="1" applyAlignment="1" applyProtection="1">
      <alignment horizontal="right"/>
    </xf>
    <xf numFmtId="0" fontId="0" fillId="0" borderId="4" xfId="0" applyBorder="1" applyAlignment="1" applyProtection="1">
      <alignment wrapText="1"/>
      <protection locked="0"/>
    </xf>
    <xf numFmtId="0" fontId="0" fillId="0" borderId="4" xfId="0" applyBorder="1" applyAlignment="1" applyProtection="1">
      <protection locked="0"/>
    </xf>
    <xf numFmtId="0" fontId="0" fillId="0" borderId="55" xfId="0" applyBorder="1" applyProtection="1">
      <protection locked="0"/>
    </xf>
    <xf numFmtId="0" fontId="0" fillId="0" borderId="56" xfId="0" applyBorder="1" applyAlignment="1" applyProtection="1">
      <alignment horizontal="left" vertical="top" wrapText="1"/>
      <protection locked="0"/>
    </xf>
    <xf numFmtId="0" fontId="0" fillId="0" borderId="57" xfId="0" applyBorder="1" applyAlignment="1" applyProtection="1">
      <alignment horizontal="left" vertical="top" wrapText="1"/>
      <protection locked="0"/>
    </xf>
    <xf numFmtId="0" fontId="11" fillId="0" borderId="0" xfId="1"/>
    <xf numFmtId="0" fontId="11" fillId="0" borderId="0" xfId="1" applyAlignment="1">
      <alignment vertical="center"/>
    </xf>
    <xf numFmtId="3" fontId="10" fillId="0" borderId="0" xfId="0" applyNumberFormat="1" applyFont="1"/>
    <xf numFmtId="0" fontId="12" fillId="0" borderId="38" xfId="0" applyNumberFormat="1" applyFont="1" applyBorder="1"/>
    <xf numFmtId="0" fontId="12" fillId="6" borderId="38" xfId="0" applyNumberFormat="1" applyFont="1" applyFill="1" applyBorder="1"/>
    <xf numFmtId="0" fontId="12" fillId="0" borderId="4" xfId="0" applyNumberFormat="1" applyFont="1" applyBorder="1"/>
    <xf numFmtId="0" fontId="12" fillId="6" borderId="38" xfId="0" applyNumberFormat="1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6" xfId="0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2" fillId="0" borderId="34" xfId="0" applyFont="1" applyBorder="1" applyAlignment="1" applyProtection="1">
      <alignment horizontal="center"/>
      <protection locked="0"/>
    </xf>
    <xf numFmtId="0" fontId="2" fillId="0" borderId="35" xfId="0" applyFont="1" applyBorder="1" applyAlignment="1" applyProtection="1">
      <alignment horizontal="center"/>
      <protection locked="0"/>
    </xf>
    <xf numFmtId="0" fontId="2" fillId="0" borderId="36" xfId="0" applyFont="1" applyBorder="1" applyAlignment="1" applyProtection="1">
      <alignment horizontal="center"/>
      <protection locked="0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0" borderId="11" xfId="0" applyFont="1" applyFill="1" applyBorder="1" applyAlignment="1">
      <alignment horizontal="center"/>
    </xf>
    <xf numFmtId="0" fontId="5" fillId="9" borderId="0" xfId="0" applyFont="1" applyFill="1" applyBorder="1" applyAlignment="1">
      <alignment horizontal="center"/>
    </xf>
    <xf numFmtId="0" fontId="5" fillId="9" borderId="52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25"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Estilo de tabla 1" pivot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9525</xdr:rowOff>
        </xdr:from>
        <xdr:to>
          <xdr:col>7</xdr:col>
          <xdr:colOff>323850</xdr:colOff>
          <xdr:row>6</xdr:row>
          <xdr:rowOff>66675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1:L209"/>
  <sheetViews>
    <sheetView topLeftCell="A118" workbookViewId="0">
      <selection activeCell="C115" sqref="C115"/>
    </sheetView>
  </sheetViews>
  <sheetFormatPr baseColWidth="10" defaultRowHeight="15" x14ac:dyDescent="0.25"/>
  <cols>
    <col min="1" max="1" width="11.28515625" customWidth="1"/>
    <col min="2" max="2" width="6.7109375" customWidth="1"/>
    <col min="3" max="3" width="88.28515625" style="1" bestFit="1" customWidth="1"/>
    <col min="4" max="4" width="6.28515625" customWidth="1"/>
    <col min="5" max="5" width="8.7109375" hidden="1" customWidth="1"/>
    <col min="6" max="6" width="22.7109375" customWidth="1"/>
    <col min="7" max="7" width="18.140625" customWidth="1"/>
    <col min="8" max="8" width="11.140625" customWidth="1"/>
    <col min="9" max="11" width="7" customWidth="1"/>
    <col min="12" max="12" width="9.42578125" customWidth="1"/>
    <col min="13" max="13" width="21" customWidth="1"/>
    <col min="15" max="15" width="6.7109375" customWidth="1"/>
    <col min="16" max="16" width="21" customWidth="1"/>
    <col min="17" max="27" width="6.7109375" customWidth="1"/>
    <col min="28" max="28" width="11.85546875" customWidth="1"/>
    <col min="31" max="31" width="18.28515625" customWidth="1"/>
    <col min="32" max="43" width="8.7109375" customWidth="1"/>
    <col min="44" max="44" width="9.42578125" customWidth="1"/>
    <col min="46" max="46" width="18.7109375" customWidth="1"/>
    <col min="47" max="57" width="7.5703125" customWidth="1"/>
    <col min="58" max="58" width="9.140625" customWidth="1"/>
  </cols>
  <sheetData>
    <row r="1" spans="3:7" ht="15.75" thickBot="1" x14ac:dyDescent="0.3">
      <c r="C1" s="5" t="s">
        <v>264</v>
      </c>
      <c r="D1" s="10"/>
      <c r="E1" s="11"/>
      <c r="F1" s="12"/>
      <c r="G1" s="8"/>
    </row>
    <row r="2" spans="3:7" ht="15.75" thickBot="1" x14ac:dyDescent="0.3">
      <c r="C2" s="5" t="s">
        <v>253</v>
      </c>
    </row>
    <row r="3" spans="3:7" ht="15.75" thickBot="1" x14ac:dyDescent="0.3">
      <c r="C3" s="5" t="s">
        <v>254</v>
      </c>
    </row>
    <row r="4" spans="3:7" ht="15.75" thickBot="1" x14ac:dyDescent="0.3">
      <c r="C4" s="5" t="s">
        <v>255</v>
      </c>
      <c r="D4" s="9"/>
    </row>
    <row r="5" spans="3:7" ht="15.75" thickBot="1" x14ac:dyDescent="0.3">
      <c r="C5" s="5" t="s">
        <v>256</v>
      </c>
    </row>
    <row r="6" spans="3:7" ht="15.75" thickBot="1" x14ac:dyDescent="0.3">
      <c r="C6" s="5" t="s">
        <v>258</v>
      </c>
    </row>
    <row r="7" spans="3:7" x14ac:dyDescent="0.25">
      <c r="C7" s="7" t="s">
        <v>257</v>
      </c>
    </row>
    <row r="122" spans="7:12" ht="15.75" thickBot="1" x14ac:dyDescent="0.3"/>
    <row r="123" spans="7:12" ht="15.75" thickBot="1" x14ac:dyDescent="0.3">
      <c r="H123" s="124" t="s">
        <v>287</v>
      </c>
      <c r="I123" s="125"/>
      <c r="J123" s="125"/>
      <c r="K123" s="125"/>
      <c r="L123" s="126"/>
    </row>
    <row r="124" spans="7:12" ht="15.75" thickBot="1" x14ac:dyDescent="0.3">
      <c r="G124" s="15" t="s">
        <v>105</v>
      </c>
      <c r="H124" s="2" t="s">
        <v>280</v>
      </c>
      <c r="I124" s="3" t="s">
        <v>281</v>
      </c>
      <c r="J124" s="3" t="s">
        <v>282</v>
      </c>
      <c r="K124" s="3" t="s">
        <v>283</v>
      </c>
      <c r="L124" s="4" t="s">
        <v>284</v>
      </c>
    </row>
    <row r="125" spans="7:12" x14ac:dyDescent="0.25">
      <c r="G125" s="16">
        <v>75</v>
      </c>
      <c r="H125" s="14">
        <v>48</v>
      </c>
      <c r="I125" s="14">
        <v>48</v>
      </c>
      <c r="J125" s="14">
        <v>44</v>
      </c>
      <c r="K125" s="14">
        <v>48</v>
      </c>
      <c r="L125" s="14">
        <v>48</v>
      </c>
    </row>
    <row r="126" spans="7:12" x14ac:dyDescent="0.25">
      <c r="G126" s="17">
        <v>75</v>
      </c>
      <c r="H126" s="14">
        <v>47</v>
      </c>
      <c r="I126" s="14">
        <v>47</v>
      </c>
      <c r="J126" s="14">
        <v>44</v>
      </c>
      <c r="K126" s="14">
        <v>47</v>
      </c>
      <c r="L126" s="14"/>
    </row>
    <row r="127" spans="7:12" x14ac:dyDescent="0.25">
      <c r="G127" s="17">
        <v>75</v>
      </c>
      <c r="H127" s="14">
        <v>46</v>
      </c>
      <c r="I127" s="14">
        <v>46</v>
      </c>
      <c r="J127" s="14">
        <v>44</v>
      </c>
      <c r="K127" s="14"/>
      <c r="L127" s="14"/>
    </row>
    <row r="128" spans="7:12" x14ac:dyDescent="0.25">
      <c r="G128" s="17">
        <v>75</v>
      </c>
      <c r="H128" s="14">
        <v>45</v>
      </c>
      <c r="I128" s="14"/>
      <c r="J128" s="14">
        <v>44</v>
      </c>
      <c r="K128" s="14"/>
      <c r="L128" s="14"/>
    </row>
    <row r="129" spans="7:12" x14ac:dyDescent="0.25">
      <c r="G129" s="17">
        <v>75</v>
      </c>
      <c r="H129" s="14">
        <v>44</v>
      </c>
      <c r="I129" s="14"/>
      <c r="J129" s="14">
        <v>44</v>
      </c>
      <c r="K129" s="14"/>
      <c r="L129" s="14"/>
    </row>
    <row r="130" spans="7:12" x14ac:dyDescent="0.25">
      <c r="G130" s="17">
        <v>75</v>
      </c>
      <c r="H130" s="14">
        <v>43</v>
      </c>
      <c r="I130" s="14"/>
      <c r="J130" s="14"/>
      <c r="K130" s="14"/>
      <c r="L130" s="14"/>
    </row>
    <row r="131" spans="7:12" x14ac:dyDescent="0.25">
      <c r="G131" s="17">
        <v>75</v>
      </c>
      <c r="H131" s="14">
        <v>42</v>
      </c>
      <c r="I131" s="14"/>
      <c r="J131" s="14"/>
      <c r="K131" s="14"/>
      <c r="L131" s="14"/>
    </row>
    <row r="132" spans="7:12" x14ac:dyDescent="0.25">
      <c r="G132" s="17">
        <v>75</v>
      </c>
      <c r="H132" s="14">
        <v>41</v>
      </c>
      <c r="I132" s="14"/>
      <c r="J132" s="14"/>
      <c r="K132" s="14"/>
      <c r="L132" s="14"/>
    </row>
    <row r="133" spans="7:12" x14ac:dyDescent="0.25">
      <c r="G133" s="17">
        <v>75</v>
      </c>
      <c r="H133" s="14">
        <v>40</v>
      </c>
      <c r="I133" s="14"/>
      <c r="J133" s="14"/>
      <c r="K133" s="14"/>
      <c r="L133" s="14"/>
    </row>
    <row r="134" spans="7:12" x14ac:dyDescent="0.25">
      <c r="G134" s="17">
        <v>75</v>
      </c>
      <c r="H134" s="14">
        <v>39</v>
      </c>
      <c r="I134" s="14"/>
      <c r="J134" s="14"/>
      <c r="K134" s="14"/>
      <c r="L134" s="14"/>
    </row>
    <row r="135" spans="7:12" x14ac:dyDescent="0.25">
      <c r="G135" s="17">
        <v>75</v>
      </c>
      <c r="H135" s="14">
        <v>38</v>
      </c>
      <c r="I135" s="14"/>
      <c r="J135" s="14"/>
      <c r="K135" s="14"/>
      <c r="L135" s="14"/>
    </row>
    <row r="136" spans="7:12" x14ac:dyDescent="0.25">
      <c r="G136" s="17">
        <v>75</v>
      </c>
      <c r="H136" s="14">
        <v>37</v>
      </c>
      <c r="I136" s="14"/>
      <c r="J136" s="14"/>
      <c r="K136" s="14"/>
      <c r="L136" s="14"/>
    </row>
    <row r="137" spans="7:12" x14ac:dyDescent="0.25">
      <c r="G137" s="17">
        <v>75</v>
      </c>
      <c r="H137" s="14">
        <v>36</v>
      </c>
      <c r="I137" s="14"/>
      <c r="J137" s="14"/>
      <c r="K137" s="14"/>
      <c r="L137" s="14"/>
    </row>
    <row r="138" spans="7:12" x14ac:dyDescent="0.25">
      <c r="G138" s="17">
        <v>74</v>
      </c>
      <c r="H138" s="14"/>
      <c r="I138" s="14"/>
      <c r="J138" s="14"/>
      <c r="K138" s="14">
        <v>46</v>
      </c>
      <c r="L138" s="14"/>
    </row>
    <row r="139" spans="7:12" x14ac:dyDescent="0.25">
      <c r="G139" s="17">
        <v>73</v>
      </c>
      <c r="H139" s="14"/>
      <c r="I139" s="14"/>
      <c r="J139" s="14"/>
      <c r="K139" s="14"/>
      <c r="L139" s="14"/>
    </row>
    <row r="140" spans="7:12" x14ac:dyDescent="0.25">
      <c r="G140" s="17">
        <v>73</v>
      </c>
      <c r="H140" s="14">
        <v>35</v>
      </c>
      <c r="I140" s="14"/>
      <c r="J140" s="14">
        <v>43</v>
      </c>
      <c r="K140" s="14"/>
      <c r="L140" s="14"/>
    </row>
    <row r="141" spans="7:12" x14ac:dyDescent="0.25">
      <c r="G141" s="17">
        <v>72</v>
      </c>
      <c r="H141" s="14">
        <v>34</v>
      </c>
      <c r="I141" s="14">
        <v>45</v>
      </c>
      <c r="J141" s="14">
        <v>42</v>
      </c>
      <c r="K141" s="14">
        <v>45</v>
      </c>
      <c r="L141" s="14">
        <v>47</v>
      </c>
    </row>
    <row r="142" spans="7:12" x14ac:dyDescent="0.25">
      <c r="G142" s="17">
        <v>71</v>
      </c>
      <c r="H142" s="14">
        <v>33</v>
      </c>
      <c r="I142" s="14"/>
      <c r="J142" s="14">
        <v>41</v>
      </c>
      <c r="K142" s="14"/>
      <c r="L142" s="14"/>
    </row>
    <row r="143" spans="7:12" x14ac:dyDescent="0.25">
      <c r="G143" s="17">
        <v>70</v>
      </c>
      <c r="H143" s="14">
        <v>32</v>
      </c>
      <c r="I143" s="14">
        <v>44</v>
      </c>
      <c r="J143" s="14"/>
      <c r="K143" s="14">
        <v>44</v>
      </c>
      <c r="L143" s="14"/>
    </row>
    <row r="144" spans="7:12" x14ac:dyDescent="0.25">
      <c r="G144" s="17">
        <v>69</v>
      </c>
      <c r="H144" s="14">
        <v>31</v>
      </c>
      <c r="I144" s="14"/>
      <c r="J144" s="14">
        <v>40</v>
      </c>
      <c r="K144" s="14"/>
      <c r="L144" s="14">
        <v>46</v>
      </c>
    </row>
    <row r="145" spans="7:12" x14ac:dyDescent="0.25">
      <c r="G145" s="17">
        <v>68</v>
      </c>
      <c r="H145" s="14">
        <v>30</v>
      </c>
      <c r="I145" s="14">
        <v>43</v>
      </c>
      <c r="J145" s="14"/>
      <c r="K145" s="14">
        <v>43</v>
      </c>
      <c r="L145" s="14"/>
    </row>
    <row r="146" spans="7:12" x14ac:dyDescent="0.25">
      <c r="G146" s="17">
        <v>67</v>
      </c>
      <c r="H146" s="14">
        <v>29</v>
      </c>
      <c r="I146" s="14"/>
      <c r="J146" s="14">
        <v>39</v>
      </c>
      <c r="K146" s="14">
        <v>42</v>
      </c>
      <c r="L146" s="14">
        <v>45</v>
      </c>
    </row>
    <row r="147" spans="7:12" x14ac:dyDescent="0.25">
      <c r="G147" s="17">
        <v>66</v>
      </c>
      <c r="H147" s="14">
        <v>28</v>
      </c>
      <c r="I147" s="14">
        <v>42</v>
      </c>
      <c r="J147" s="14"/>
      <c r="K147" s="14"/>
      <c r="L147" s="14"/>
    </row>
    <row r="148" spans="7:12" x14ac:dyDescent="0.25">
      <c r="G148" s="17">
        <v>65</v>
      </c>
      <c r="H148" s="14">
        <v>27</v>
      </c>
      <c r="I148" s="14"/>
      <c r="J148" s="14">
        <v>38</v>
      </c>
      <c r="K148" s="14">
        <v>41</v>
      </c>
      <c r="L148" s="14">
        <v>44</v>
      </c>
    </row>
    <row r="149" spans="7:12" x14ac:dyDescent="0.25">
      <c r="G149" s="17">
        <v>64</v>
      </c>
      <c r="H149" s="14">
        <v>26</v>
      </c>
      <c r="I149" s="14">
        <v>41</v>
      </c>
      <c r="J149" s="14">
        <v>37</v>
      </c>
      <c r="K149" s="14">
        <v>40</v>
      </c>
      <c r="L149" s="14"/>
    </row>
    <row r="150" spans="7:12" x14ac:dyDescent="0.25">
      <c r="G150" s="17">
        <v>63</v>
      </c>
      <c r="H150" s="14">
        <v>25</v>
      </c>
      <c r="I150" s="14">
        <v>40</v>
      </c>
      <c r="J150" s="14"/>
      <c r="K150" s="14"/>
      <c r="L150" s="14"/>
    </row>
    <row r="151" spans="7:12" x14ac:dyDescent="0.25">
      <c r="G151" s="17">
        <v>62</v>
      </c>
      <c r="H151" s="14">
        <v>24</v>
      </c>
      <c r="I151" s="14"/>
      <c r="J151" s="14">
        <v>36</v>
      </c>
      <c r="K151" s="14">
        <v>39</v>
      </c>
      <c r="L151" s="14">
        <v>43</v>
      </c>
    </row>
    <row r="152" spans="7:12" x14ac:dyDescent="0.25">
      <c r="G152" s="17">
        <v>61</v>
      </c>
      <c r="H152" s="14">
        <v>23</v>
      </c>
      <c r="I152" s="14">
        <v>39</v>
      </c>
      <c r="J152" s="14">
        <v>35</v>
      </c>
      <c r="K152" s="14">
        <v>38</v>
      </c>
      <c r="L152" s="14">
        <v>42</v>
      </c>
    </row>
    <row r="153" spans="7:12" x14ac:dyDescent="0.25">
      <c r="G153" s="17">
        <v>60</v>
      </c>
      <c r="H153" s="14">
        <v>22</v>
      </c>
      <c r="I153" s="14"/>
      <c r="J153" s="14"/>
      <c r="K153" s="14"/>
      <c r="L153" s="14"/>
    </row>
    <row r="154" spans="7:12" x14ac:dyDescent="0.25">
      <c r="G154" s="17">
        <v>59</v>
      </c>
      <c r="H154" s="14">
        <v>21</v>
      </c>
      <c r="I154" s="14">
        <v>38</v>
      </c>
      <c r="J154" s="14">
        <v>34</v>
      </c>
      <c r="K154" s="14">
        <v>37</v>
      </c>
      <c r="L154" s="14">
        <v>41</v>
      </c>
    </row>
    <row r="155" spans="7:12" x14ac:dyDescent="0.25">
      <c r="G155" s="17">
        <v>58</v>
      </c>
      <c r="H155" s="14">
        <v>20</v>
      </c>
      <c r="I155" s="14">
        <v>37</v>
      </c>
      <c r="J155" s="14"/>
      <c r="K155" s="14"/>
      <c r="L155" s="14"/>
    </row>
    <row r="156" spans="7:12" x14ac:dyDescent="0.25">
      <c r="G156" s="17">
        <v>57</v>
      </c>
      <c r="H156" s="14"/>
      <c r="I156" s="14"/>
      <c r="J156" s="14">
        <v>33</v>
      </c>
      <c r="K156" s="14">
        <v>36</v>
      </c>
      <c r="L156" s="14">
        <v>40</v>
      </c>
    </row>
    <row r="157" spans="7:12" x14ac:dyDescent="0.25">
      <c r="G157" s="17">
        <v>56</v>
      </c>
      <c r="H157" s="14">
        <v>19</v>
      </c>
      <c r="I157" s="14">
        <v>36</v>
      </c>
      <c r="J157" s="14">
        <v>32</v>
      </c>
      <c r="K157" s="14"/>
      <c r="L157" s="14">
        <v>39</v>
      </c>
    </row>
    <row r="158" spans="7:12" x14ac:dyDescent="0.25">
      <c r="G158" s="17">
        <v>55</v>
      </c>
      <c r="H158" s="14">
        <v>18</v>
      </c>
      <c r="I158" s="14"/>
      <c r="J158" s="14"/>
      <c r="K158" s="14">
        <v>35</v>
      </c>
      <c r="L158" s="14"/>
    </row>
    <row r="159" spans="7:12" x14ac:dyDescent="0.25">
      <c r="G159" s="17">
        <v>54</v>
      </c>
      <c r="H159" s="14">
        <v>17</v>
      </c>
      <c r="I159" s="14">
        <v>35</v>
      </c>
      <c r="J159" s="14">
        <v>31</v>
      </c>
      <c r="K159" s="14"/>
      <c r="L159" s="14">
        <v>38</v>
      </c>
    </row>
    <row r="160" spans="7:12" x14ac:dyDescent="0.25">
      <c r="G160" s="17">
        <v>53</v>
      </c>
      <c r="H160" s="14">
        <v>16</v>
      </c>
      <c r="I160" s="14">
        <v>34</v>
      </c>
      <c r="J160" s="14">
        <v>30</v>
      </c>
      <c r="K160" s="14">
        <v>34</v>
      </c>
      <c r="L160" s="14">
        <v>37</v>
      </c>
    </row>
    <row r="161" spans="7:12" x14ac:dyDescent="0.25">
      <c r="G161" s="17">
        <v>52</v>
      </c>
      <c r="H161" s="14"/>
      <c r="I161" s="14"/>
      <c r="J161" s="14"/>
      <c r="K161" s="14"/>
      <c r="L161" s="14"/>
    </row>
    <row r="162" spans="7:12" x14ac:dyDescent="0.25">
      <c r="G162" s="17">
        <v>51</v>
      </c>
      <c r="H162" s="14">
        <v>15</v>
      </c>
      <c r="I162" s="14">
        <v>33</v>
      </c>
      <c r="J162" s="14">
        <v>29</v>
      </c>
      <c r="K162" s="14">
        <v>33</v>
      </c>
      <c r="L162" s="14">
        <v>36</v>
      </c>
    </row>
    <row r="163" spans="7:12" x14ac:dyDescent="0.25">
      <c r="G163" s="17">
        <v>50</v>
      </c>
      <c r="H163" s="14">
        <v>14</v>
      </c>
      <c r="I163" s="14">
        <v>32</v>
      </c>
      <c r="J163" s="14">
        <v>28</v>
      </c>
      <c r="K163" s="14">
        <v>32</v>
      </c>
      <c r="L163" s="14">
        <v>35</v>
      </c>
    </row>
    <row r="164" spans="7:12" x14ac:dyDescent="0.25">
      <c r="G164" s="17">
        <v>49</v>
      </c>
      <c r="H164" s="14">
        <v>13</v>
      </c>
      <c r="I164" s="14"/>
      <c r="J164" s="14"/>
      <c r="K164" s="14"/>
      <c r="L164" s="14"/>
    </row>
    <row r="165" spans="7:12" x14ac:dyDescent="0.25">
      <c r="G165" s="17">
        <v>48</v>
      </c>
      <c r="H165" s="14"/>
      <c r="I165" s="14">
        <v>31</v>
      </c>
      <c r="J165" s="14">
        <v>27</v>
      </c>
      <c r="K165" s="14">
        <v>31</v>
      </c>
      <c r="L165" s="14"/>
    </row>
    <row r="166" spans="7:12" x14ac:dyDescent="0.25">
      <c r="G166" s="17">
        <v>47</v>
      </c>
      <c r="H166" s="14">
        <v>12</v>
      </c>
      <c r="I166" s="14">
        <v>30</v>
      </c>
      <c r="J166" s="14">
        <v>26</v>
      </c>
      <c r="K166" s="14"/>
      <c r="L166" s="14">
        <v>34</v>
      </c>
    </row>
    <row r="167" spans="7:12" x14ac:dyDescent="0.25">
      <c r="G167" s="17">
        <v>46</v>
      </c>
      <c r="H167" s="14">
        <v>11</v>
      </c>
      <c r="I167" s="14"/>
      <c r="J167" s="14"/>
      <c r="K167" s="14">
        <v>30</v>
      </c>
      <c r="L167" s="14">
        <v>33</v>
      </c>
    </row>
    <row r="168" spans="7:12" x14ac:dyDescent="0.25">
      <c r="G168" s="17">
        <v>45</v>
      </c>
      <c r="H168" s="14"/>
      <c r="I168" s="14">
        <v>29</v>
      </c>
      <c r="J168" s="14">
        <v>25</v>
      </c>
      <c r="K168" s="14"/>
      <c r="L168" s="14"/>
    </row>
    <row r="169" spans="7:12" x14ac:dyDescent="0.25">
      <c r="G169" s="17">
        <v>44</v>
      </c>
      <c r="H169" s="14">
        <v>10</v>
      </c>
      <c r="I169" s="14">
        <v>28</v>
      </c>
      <c r="J169" s="14">
        <v>24</v>
      </c>
      <c r="K169" s="14">
        <v>29</v>
      </c>
      <c r="L169" s="14">
        <v>32</v>
      </c>
    </row>
    <row r="170" spans="7:12" x14ac:dyDescent="0.25">
      <c r="G170" s="17">
        <v>43</v>
      </c>
      <c r="H170" s="14"/>
      <c r="I170" s="14"/>
      <c r="J170" s="14"/>
      <c r="K170" s="14"/>
      <c r="L170" s="14"/>
    </row>
    <row r="171" spans="7:12" x14ac:dyDescent="0.25">
      <c r="G171" s="17">
        <v>42</v>
      </c>
      <c r="H171" s="14">
        <v>9</v>
      </c>
      <c r="I171" s="14">
        <v>27</v>
      </c>
      <c r="J171" s="14">
        <v>23</v>
      </c>
      <c r="K171" s="14">
        <v>28</v>
      </c>
      <c r="L171" s="14">
        <v>31</v>
      </c>
    </row>
    <row r="172" spans="7:12" x14ac:dyDescent="0.25">
      <c r="G172" s="17">
        <v>41</v>
      </c>
      <c r="H172" s="14">
        <v>8</v>
      </c>
      <c r="I172" s="14">
        <v>26</v>
      </c>
      <c r="J172" s="14">
        <v>22</v>
      </c>
      <c r="K172" s="14"/>
      <c r="L172" s="14"/>
    </row>
    <row r="173" spans="7:12" x14ac:dyDescent="0.25">
      <c r="G173" s="17">
        <v>40</v>
      </c>
      <c r="H173" s="14"/>
      <c r="I173" s="14"/>
      <c r="J173" s="14"/>
      <c r="K173" s="14">
        <v>27</v>
      </c>
      <c r="L173" s="14">
        <v>30</v>
      </c>
    </row>
    <row r="174" spans="7:12" x14ac:dyDescent="0.25">
      <c r="G174" s="17">
        <v>39</v>
      </c>
      <c r="H174" s="14">
        <v>7</v>
      </c>
      <c r="I174" s="14">
        <v>25</v>
      </c>
      <c r="J174" s="14">
        <v>21</v>
      </c>
      <c r="K174" s="14">
        <v>26</v>
      </c>
      <c r="L174" s="14">
        <v>29</v>
      </c>
    </row>
    <row r="175" spans="7:12" x14ac:dyDescent="0.25">
      <c r="G175" s="17">
        <v>38</v>
      </c>
      <c r="H175" s="14">
        <v>6</v>
      </c>
      <c r="I175" s="14">
        <v>24</v>
      </c>
      <c r="J175" s="14">
        <v>20</v>
      </c>
      <c r="K175" s="14">
        <v>25</v>
      </c>
      <c r="L175" s="14">
        <v>28</v>
      </c>
    </row>
    <row r="176" spans="7:12" x14ac:dyDescent="0.25">
      <c r="G176" s="17">
        <v>37</v>
      </c>
      <c r="H176" s="14"/>
      <c r="I176" s="14">
        <v>23</v>
      </c>
      <c r="J176" s="14">
        <v>19</v>
      </c>
      <c r="K176" s="14"/>
      <c r="L176" s="14"/>
    </row>
    <row r="177" spans="7:12" x14ac:dyDescent="0.25">
      <c r="G177" s="17">
        <v>36</v>
      </c>
      <c r="H177" s="14">
        <v>5</v>
      </c>
      <c r="I177" s="14"/>
      <c r="J177" s="14">
        <v>18</v>
      </c>
      <c r="K177" s="14">
        <v>24</v>
      </c>
      <c r="L177" s="14">
        <v>27</v>
      </c>
    </row>
    <row r="178" spans="7:12" x14ac:dyDescent="0.25">
      <c r="G178" s="17">
        <v>35</v>
      </c>
      <c r="H178" s="14">
        <v>4</v>
      </c>
      <c r="I178" s="14">
        <v>22</v>
      </c>
      <c r="J178" s="14"/>
      <c r="K178" s="14">
        <v>23</v>
      </c>
      <c r="L178" s="14">
        <v>26</v>
      </c>
    </row>
    <row r="179" spans="7:12" x14ac:dyDescent="0.25">
      <c r="G179" s="17">
        <v>34</v>
      </c>
      <c r="H179" s="14">
        <v>3</v>
      </c>
      <c r="I179" s="14"/>
      <c r="J179" s="14">
        <v>17</v>
      </c>
      <c r="K179" s="14"/>
      <c r="L179" s="14">
        <v>25</v>
      </c>
    </row>
    <row r="180" spans="7:12" x14ac:dyDescent="0.25">
      <c r="G180" s="17">
        <v>33</v>
      </c>
      <c r="H180" s="14"/>
      <c r="I180" s="14">
        <v>21</v>
      </c>
      <c r="J180" s="14">
        <v>16</v>
      </c>
      <c r="K180" s="14">
        <v>22</v>
      </c>
      <c r="L180" s="14">
        <v>24</v>
      </c>
    </row>
    <row r="181" spans="7:12" x14ac:dyDescent="0.25">
      <c r="G181" s="17">
        <v>32</v>
      </c>
      <c r="H181" s="14">
        <v>2</v>
      </c>
      <c r="I181" s="14">
        <v>20</v>
      </c>
      <c r="J181" s="14">
        <v>15</v>
      </c>
      <c r="K181" s="14">
        <v>21</v>
      </c>
      <c r="L181" s="14">
        <v>23</v>
      </c>
    </row>
    <row r="182" spans="7:12" x14ac:dyDescent="0.25">
      <c r="G182" s="17">
        <v>31</v>
      </c>
      <c r="H182" s="14"/>
      <c r="I182" s="14">
        <v>19</v>
      </c>
      <c r="J182" s="14"/>
      <c r="K182" s="14"/>
      <c r="L182" s="14"/>
    </row>
    <row r="183" spans="7:12" x14ac:dyDescent="0.25">
      <c r="G183" s="17">
        <v>30</v>
      </c>
      <c r="H183" s="14">
        <v>1</v>
      </c>
      <c r="I183" s="14">
        <v>18</v>
      </c>
      <c r="J183" s="14">
        <v>14</v>
      </c>
      <c r="K183" s="14">
        <v>20</v>
      </c>
      <c r="L183" s="14">
        <v>22</v>
      </c>
    </row>
    <row r="184" spans="7:12" x14ac:dyDescent="0.25">
      <c r="G184" s="17">
        <v>29</v>
      </c>
      <c r="H184" s="14"/>
      <c r="I184" s="14">
        <v>17</v>
      </c>
      <c r="J184" s="14">
        <v>13</v>
      </c>
      <c r="K184" s="14">
        <v>19</v>
      </c>
      <c r="L184" s="14">
        <v>21</v>
      </c>
    </row>
    <row r="185" spans="7:12" x14ac:dyDescent="0.25">
      <c r="G185" s="17">
        <v>28</v>
      </c>
      <c r="H185" s="14"/>
      <c r="I185" s="14"/>
      <c r="J185" s="14">
        <v>12</v>
      </c>
      <c r="K185" s="14"/>
      <c r="L185" s="14">
        <v>20</v>
      </c>
    </row>
    <row r="186" spans="7:12" x14ac:dyDescent="0.25">
      <c r="G186" s="17">
        <v>27</v>
      </c>
      <c r="H186" s="14"/>
      <c r="I186" s="14">
        <v>16</v>
      </c>
      <c r="J186" s="14"/>
      <c r="K186" s="14">
        <v>18</v>
      </c>
      <c r="L186" s="14">
        <v>19</v>
      </c>
    </row>
    <row r="187" spans="7:12" x14ac:dyDescent="0.25">
      <c r="G187" s="17">
        <v>26</v>
      </c>
      <c r="H187" s="14"/>
      <c r="I187" s="14"/>
      <c r="J187" s="14"/>
      <c r="K187" s="14"/>
      <c r="L187" s="14">
        <v>18</v>
      </c>
    </row>
    <row r="188" spans="7:12" x14ac:dyDescent="0.25">
      <c r="G188" s="17">
        <v>26</v>
      </c>
      <c r="H188" s="14"/>
      <c r="I188" s="14">
        <v>15</v>
      </c>
      <c r="J188" s="14"/>
      <c r="K188" s="14">
        <v>17</v>
      </c>
      <c r="L188" s="14">
        <v>17</v>
      </c>
    </row>
    <row r="189" spans="7:12" x14ac:dyDescent="0.25">
      <c r="G189" s="17">
        <v>25</v>
      </c>
      <c r="H189" s="14"/>
      <c r="I189" s="14"/>
      <c r="J189" s="14"/>
      <c r="K189" s="14"/>
      <c r="L189" s="14"/>
    </row>
    <row r="190" spans="7:12" x14ac:dyDescent="0.25">
      <c r="G190" s="17">
        <v>25</v>
      </c>
      <c r="H190" s="14"/>
      <c r="I190" s="14"/>
      <c r="J190" s="14"/>
      <c r="K190" s="14"/>
      <c r="L190" s="14"/>
    </row>
    <row r="191" spans="7:12" x14ac:dyDescent="0.25">
      <c r="G191" s="17">
        <v>25</v>
      </c>
      <c r="H191" s="14"/>
      <c r="I191" s="14"/>
      <c r="J191" s="14"/>
      <c r="K191" s="14"/>
      <c r="L191" s="14"/>
    </row>
    <row r="192" spans="7:12" x14ac:dyDescent="0.25">
      <c r="G192" s="17">
        <v>25</v>
      </c>
      <c r="H192" s="14"/>
      <c r="I192" s="14"/>
      <c r="J192" s="14"/>
      <c r="K192" s="14">
        <v>16</v>
      </c>
      <c r="L192" s="14">
        <v>16</v>
      </c>
    </row>
    <row r="193" spans="7:12" x14ac:dyDescent="0.25">
      <c r="G193" s="17">
        <v>25</v>
      </c>
      <c r="H193" s="14"/>
      <c r="I193" s="14"/>
      <c r="J193" s="14"/>
      <c r="K193" s="14">
        <v>15</v>
      </c>
      <c r="L193" s="14">
        <v>15</v>
      </c>
    </row>
    <row r="194" spans="7:12" x14ac:dyDescent="0.25">
      <c r="G194" s="17">
        <v>25</v>
      </c>
      <c r="H194" s="14"/>
      <c r="I194" s="14">
        <v>14</v>
      </c>
      <c r="J194" s="14"/>
      <c r="K194" s="14">
        <v>14</v>
      </c>
      <c r="L194" s="14">
        <v>14</v>
      </c>
    </row>
    <row r="195" spans="7:12" x14ac:dyDescent="0.25">
      <c r="G195" s="17">
        <v>25</v>
      </c>
      <c r="H195" s="14"/>
      <c r="I195" s="14">
        <v>13</v>
      </c>
      <c r="J195" s="14"/>
      <c r="K195" s="14">
        <v>13</v>
      </c>
      <c r="L195" s="14">
        <v>13</v>
      </c>
    </row>
    <row r="196" spans="7:12" x14ac:dyDescent="0.25">
      <c r="G196" s="17">
        <v>25</v>
      </c>
      <c r="H196" s="14"/>
      <c r="I196" s="14">
        <v>12</v>
      </c>
      <c r="J196" s="14"/>
      <c r="K196" s="14">
        <v>12</v>
      </c>
      <c r="L196" s="14">
        <v>12</v>
      </c>
    </row>
    <row r="197" spans="7:12" x14ac:dyDescent="0.25">
      <c r="G197" s="17">
        <v>25</v>
      </c>
      <c r="H197" s="14"/>
      <c r="I197" s="14">
        <v>11</v>
      </c>
      <c r="J197" s="14">
        <v>11</v>
      </c>
      <c r="K197" s="14">
        <v>11</v>
      </c>
      <c r="L197" s="14">
        <v>11</v>
      </c>
    </row>
    <row r="198" spans="7:12" x14ac:dyDescent="0.25">
      <c r="G198" s="17">
        <v>25</v>
      </c>
      <c r="H198" s="14"/>
      <c r="I198" s="14">
        <v>10</v>
      </c>
      <c r="J198" s="14">
        <v>10</v>
      </c>
      <c r="K198" s="14">
        <v>10</v>
      </c>
      <c r="L198" s="14">
        <v>10</v>
      </c>
    </row>
    <row r="199" spans="7:12" x14ac:dyDescent="0.25">
      <c r="G199" s="17">
        <v>25</v>
      </c>
      <c r="H199" s="14"/>
      <c r="I199" s="14">
        <v>9</v>
      </c>
      <c r="J199" s="14">
        <v>9</v>
      </c>
      <c r="K199" s="14">
        <v>9</v>
      </c>
      <c r="L199" s="14">
        <v>9</v>
      </c>
    </row>
    <row r="200" spans="7:12" x14ac:dyDescent="0.25">
      <c r="G200" s="17">
        <v>25</v>
      </c>
      <c r="H200" s="14"/>
      <c r="I200" s="14">
        <v>8</v>
      </c>
      <c r="J200" s="14">
        <v>8</v>
      </c>
      <c r="K200" s="14">
        <v>8</v>
      </c>
      <c r="L200" s="14">
        <v>8</v>
      </c>
    </row>
    <row r="201" spans="7:12" x14ac:dyDescent="0.25">
      <c r="G201" s="17">
        <v>25</v>
      </c>
      <c r="H201" s="14"/>
      <c r="I201" s="14">
        <v>7</v>
      </c>
      <c r="J201" s="14">
        <v>7</v>
      </c>
      <c r="K201" s="14">
        <v>7</v>
      </c>
      <c r="L201" s="14">
        <v>7</v>
      </c>
    </row>
    <row r="202" spans="7:12" x14ac:dyDescent="0.25">
      <c r="G202" s="17">
        <v>25</v>
      </c>
      <c r="H202" s="14"/>
      <c r="I202" s="14">
        <v>6</v>
      </c>
      <c r="J202" s="14">
        <v>6</v>
      </c>
      <c r="K202" s="14">
        <v>6</v>
      </c>
      <c r="L202" s="14">
        <v>6</v>
      </c>
    </row>
    <row r="203" spans="7:12" x14ac:dyDescent="0.25">
      <c r="G203" s="17">
        <v>25</v>
      </c>
      <c r="H203" s="14"/>
      <c r="I203" s="14">
        <v>5</v>
      </c>
      <c r="J203" s="14">
        <v>5</v>
      </c>
      <c r="K203" s="14">
        <v>5</v>
      </c>
      <c r="L203" s="14">
        <v>5</v>
      </c>
    </row>
    <row r="204" spans="7:12" x14ac:dyDescent="0.25">
      <c r="G204" s="17">
        <v>25</v>
      </c>
      <c r="H204" s="14"/>
      <c r="I204" s="14">
        <v>4</v>
      </c>
      <c r="J204" s="14">
        <v>4</v>
      </c>
      <c r="K204" s="14">
        <v>4</v>
      </c>
      <c r="L204" s="14">
        <v>4</v>
      </c>
    </row>
    <row r="205" spans="7:12" x14ac:dyDescent="0.25">
      <c r="G205" s="17">
        <v>25</v>
      </c>
      <c r="H205" s="14"/>
      <c r="I205" s="14">
        <v>3</v>
      </c>
      <c r="J205" s="14">
        <v>3</v>
      </c>
      <c r="K205" s="14">
        <v>3</v>
      </c>
      <c r="L205" s="14">
        <v>3</v>
      </c>
    </row>
    <row r="206" spans="7:12" x14ac:dyDescent="0.25">
      <c r="G206" s="17">
        <v>25</v>
      </c>
      <c r="H206" s="14"/>
      <c r="I206" s="14">
        <v>2</v>
      </c>
      <c r="J206" s="14">
        <v>2</v>
      </c>
      <c r="K206" s="14">
        <v>2</v>
      </c>
      <c r="L206" s="14">
        <v>2</v>
      </c>
    </row>
    <row r="207" spans="7:12" x14ac:dyDescent="0.25">
      <c r="G207" s="17">
        <v>25</v>
      </c>
      <c r="H207" s="14"/>
      <c r="I207" s="14">
        <v>1</v>
      </c>
      <c r="J207" s="14">
        <v>1</v>
      </c>
      <c r="K207" s="14">
        <v>1</v>
      </c>
      <c r="L207" s="14">
        <v>1</v>
      </c>
    </row>
    <row r="208" spans="7:12" ht="15.75" thickBot="1" x14ac:dyDescent="0.3">
      <c r="G208" s="17">
        <v>25</v>
      </c>
      <c r="H208" s="18">
        <v>0</v>
      </c>
      <c r="I208" s="18">
        <v>0</v>
      </c>
      <c r="J208" s="18">
        <v>0</v>
      </c>
      <c r="K208" s="18">
        <v>0</v>
      </c>
      <c r="L208" s="18">
        <v>0</v>
      </c>
    </row>
    <row r="209" spans="7:12" ht="15.75" thickBot="1" x14ac:dyDescent="0.3">
      <c r="G209" s="13" t="s">
        <v>105</v>
      </c>
      <c r="H209" s="19" t="s">
        <v>280</v>
      </c>
      <c r="I209" s="20" t="s">
        <v>281</v>
      </c>
      <c r="J209" s="20" t="s">
        <v>282</v>
      </c>
      <c r="K209" s="20" t="s">
        <v>283</v>
      </c>
      <c r="L209" s="21" t="s">
        <v>284</v>
      </c>
    </row>
  </sheetData>
  <mergeCells count="1">
    <mergeCell ref="H123:L123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BW198"/>
  <sheetViews>
    <sheetView tabSelected="1" topLeftCell="C112" zoomScaleNormal="100" workbookViewId="0">
      <selection activeCell="I110" sqref="I110"/>
    </sheetView>
  </sheetViews>
  <sheetFormatPr baseColWidth="10" defaultRowHeight="15" x14ac:dyDescent="0.25"/>
  <cols>
    <col min="1" max="1" width="13.5703125" style="36" hidden="1" customWidth="1"/>
    <col min="2" max="2" width="11.42578125" style="36" hidden="1" customWidth="1"/>
    <col min="3" max="3" width="88.28515625" style="95" bestFit="1" customWidth="1"/>
    <col min="4" max="4" width="18.85546875" style="36" customWidth="1"/>
    <col min="5" max="5" width="8.7109375" style="36" hidden="1" customWidth="1"/>
    <col min="6" max="6" width="2.85546875" style="36" hidden="1" customWidth="1"/>
    <col min="7" max="7" width="22.7109375" style="36" customWidth="1"/>
    <col min="8" max="8" width="18.140625" style="36" customWidth="1"/>
    <col min="9" max="9" width="12.7109375" style="36" customWidth="1"/>
    <col min="10" max="10" width="10.7109375" style="36" customWidth="1"/>
    <col min="11" max="11" width="9.5703125" style="36" customWidth="1"/>
    <col min="12" max="12" width="10.5703125" style="36" customWidth="1"/>
    <col min="13" max="13" width="11.42578125" style="36" customWidth="1"/>
    <col min="14" max="14" width="20.140625" style="36" customWidth="1"/>
    <col min="15" max="15" width="10" style="36" customWidth="1"/>
    <col min="16" max="16" width="10.140625" style="36" customWidth="1"/>
    <col min="17" max="17" width="10" style="36" customWidth="1"/>
    <col min="18" max="18" width="12.28515625" style="36" customWidth="1"/>
    <col min="19" max="19" width="40.85546875" style="36" customWidth="1"/>
    <col min="20" max="20" width="20.7109375" style="36" customWidth="1"/>
    <col min="21" max="21" width="11.42578125" style="36"/>
    <col min="22" max="22" width="6.7109375" style="36" hidden="1" customWidth="1"/>
    <col min="23" max="23" width="21" style="36" hidden="1" customWidth="1"/>
    <col min="24" max="34" width="6.7109375" style="36" hidden="1" customWidth="1"/>
    <col min="35" max="35" width="11.85546875" style="36" hidden="1" customWidth="1"/>
    <col min="36" max="37" width="0" style="36" hidden="1" customWidth="1"/>
    <col min="38" max="38" width="18.28515625" style="36" hidden="1" customWidth="1"/>
    <col min="39" max="50" width="8.7109375" style="36" hidden="1" customWidth="1"/>
    <col min="51" max="51" width="9.42578125" style="36" hidden="1" customWidth="1"/>
    <col min="52" max="52" width="0" style="36" hidden="1" customWidth="1"/>
    <col min="53" max="53" width="18.7109375" style="36" hidden="1" customWidth="1"/>
    <col min="54" max="64" width="7.5703125" style="36" hidden="1" customWidth="1"/>
    <col min="65" max="65" width="9.140625" style="36" hidden="1" customWidth="1"/>
    <col min="66" max="68" width="0" style="36" hidden="1" customWidth="1"/>
    <col min="69" max="69" width="11.42578125" style="36"/>
    <col min="70" max="70" width="7.140625" style="36" bestFit="1" customWidth="1"/>
    <col min="71" max="71" width="13.5703125" style="36" customWidth="1"/>
    <col min="72" max="72" width="72.42578125" style="36" customWidth="1"/>
    <col min="73" max="73" width="49.28515625" style="36" customWidth="1"/>
    <col min="74" max="74" width="20.140625" style="36" customWidth="1"/>
    <col min="75" max="75" width="139.7109375" style="36" bestFit="1" customWidth="1"/>
    <col min="76" max="16384" width="11.42578125" style="36"/>
  </cols>
  <sheetData>
    <row r="1" spans="1:75" ht="15.75" thickBot="1" x14ac:dyDescent="0.3">
      <c r="C1" s="37" t="s">
        <v>264</v>
      </c>
      <c r="D1" s="136"/>
      <c r="E1" s="137"/>
      <c r="F1" s="137"/>
      <c r="G1" s="138"/>
      <c r="H1" s="38"/>
    </row>
    <row r="2" spans="1:75" ht="15.75" thickBot="1" x14ac:dyDescent="0.3">
      <c r="C2" s="37" t="s">
        <v>316</v>
      </c>
      <c r="D2" s="39"/>
    </row>
    <row r="3" spans="1:75" ht="15.75" thickBot="1" x14ac:dyDescent="0.3">
      <c r="C3" s="37" t="s">
        <v>254</v>
      </c>
      <c r="D3" s="109" t="e">
        <f>VLOOKUP($D$2,Lista!$A$2:$N$11,2,FALSE)</f>
        <v>#N/A</v>
      </c>
    </row>
    <row r="4" spans="1:75" ht="15.75" thickBot="1" x14ac:dyDescent="0.3">
      <c r="C4" s="37" t="s">
        <v>255</v>
      </c>
      <c r="D4" s="109" t="e">
        <f>VLOOKUP($D$2,Lista!$A$2:$N$11,3,FALSE)</f>
        <v>#N/A</v>
      </c>
    </row>
    <row r="5" spans="1:75" ht="15.75" thickBot="1" x14ac:dyDescent="0.3">
      <c r="C5" s="37" t="s">
        <v>256</v>
      </c>
      <c r="D5" s="109" t="e">
        <f>VLOOKUP($D$2,Lista!$A$2:$N$11,4,FALSE)</f>
        <v>#N/A</v>
      </c>
    </row>
    <row r="6" spans="1:75" ht="15.75" thickBot="1" x14ac:dyDescent="0.3">
      <c r="C6" s="37" t="s">
        <v>258</v>
      </c>
      <c r="D6" s="111" t="e">
        <f>VLOOKUP($D$2,Lista!$A$2:$N$11,5,FALSE)</f>
        <v>#N/A</v>
      </c>
    </row>
    <row r="7" spans="1:75" ht="15.75" thickBot="1" x14ac:dyDescent="0.3">
      <c r="C7" s="39" t="s">
        <v>257</v>
      </c>
      <c r="D7" s="109" t="e">
        <f>VLOOKUP($D$2,Lista!$A$2:$N$11,6,FALSE)</f>
        <v>#N/A</v>
      </c>
    </row>
    <row r="8" spans="1:75" ht="20.25" customHeight="1" x14ac:dyDescent="0.25">
      <c r="C8" s="40" t="s">
        <v>251</v>
      </c>
    </row>
    <row r="9" spans="1:75" ht="27" customHeight="1" x14ac:dyDescent="0.25">
      <c r="C9" s="41" t="s">
        <v>262</v>
      </c>
    </row>
    <row r="10" spans="1:75" ht="20.25" customHeight="1" x14ac:dyDescent="0.25">
      <c r="C10" s="41" t="s">
        <v>261</v>
      </c>
    </row>
    <row r="11" spans="1:75" ht="20.25" customHeight="1" x14ac:dyDescent="0.25">
      <c r="C11" s="41" t="s">
        <v>260</v>
      </c>
    </row>
    <row r="12" spans="1:75" ht="37.5" customHeight="1" thickBot="1" x14ac:dyDescent="0.3">
      <c r="C12" s="42" t="s">
        <v>252</v>
      </c>
      <c r="D12" s="95"/>
    </row>
    <row r="13" spans="1:75" ht="68.25" customHeight="1" thickBot="1" x14ac:dyDescent="0.3">
      <c r="A13" s="43" t="s">
        <v>90</v>
      </c>
      <c r="B13" s="43" t="s">
        <v>259</v>
      </c>
      <c r="C13" s="43" t="s">
        <v>298</v>
      </c>
      <c r="D13" s="44" t="s">
        <v>276</v>
      </c>
      <c r="E13" s="44" t="s">
        <v>102</v>
      </c>
      <c r="F13" s="45" t="s">
        <v>103</v>
      </c>
      <c r="I13" s="133" t="s">
        <v>419</v>
      </c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5"/>
      <c r="X13" s="133" t="s">
        <v>269</v>
      </c>
      <c r="Y13" s="134"/>
      <c r="Z13" s="134"/>
      <c r="AA13" s="134"/>
      <c r="AB13" s="134"/>
      <c r="AC13" s="134"/>
      <c r="AD13" s="134"/>
      <c r="AE13" s="134"/>
      <c r="AF13" s="134"/>
      <c r="AG13" s="134"/>
      <c r="AH13" s="134"/>
      <c r="AI13" s="135"/>
      <c r="AM13" s="133" t="s">
        <v>273</v>
      </c>
      <c r="AN13" s="134"/>
      <c r="AO13" s="134"/>
      <c r="AP13" s="134"/>
      <c r="AQ13" s="134"/>
      <c r="AR13" s="134"/>
      <c r="AS13" s="134"/>
      <c r="AT13" s="134"/>
      <c r="AU13" s="134"/>
      <c r="AV13" s="134"/>
      <c r="AW13" s="134"/>
      <c r="AX13" s="135"/>
      <c r="BB13" s="133" t="s">
        <v>272</v>
      </c>
      <c r="BC13" s="134"/>
      <c r="BD13" s="134"/>
      <c r="BE13" s="134"/>
      <c r="BF13" s="134"/>
      <c r="BG13" s="134"/>
      <c r="BH13" s="134"/>
      <c r="BI13" s="134"/>
      <c r="BJ13" s="134"/>
      <c r="BK13" s="134"/>
      <c r="BL13" s="134"/>
      <c r="BM13" s="135"/>
      <c r="BR13" s="50" t="s">
        <v>318</v>
      </c>
      <c r="BS13" s="51" t="s">
        <v>319</v>
      </c>
      <c r="BT13" s="114" t="s">
        <v>354</v>
      </c>
      <c r="BU13" s="104" t="s">
        <v>355</v>
      </c>
      <c r="BV13" s="104" t="s">
        <v>331</v>
      </c>
      <c r="BW13" s="104" t="s">
        <v>329</v>
      </c>
    </row>
    <row r="14" spans="1:75" ht="16.5" customHeight="1" thickBot="1" x14ac:dyDescent="0.3">
      <c r="A14" s="36" t="s">
        <v>91</v>
      </c>
      <c r="B14" s="36">
        <v>1</v>
      </c>
      <c r="C14" s="46" t="s">
        <v>0</v>
      </c>
      <c r="D14" s="99"/>
      <c r="E14" s="48" t="str">
        <f>IF(D14="a",0,IF(D14="b",1,IF(D14="c",2,IF(D14="d",3,IF(D14="e",4,"")))))</f>
        <v/>
      </c>
      <c r="F14" s="49" t="str">
        <f t="shared" ref="F14:F45" si="0">IF(D14="",A14,"")</f>
        <v>SOM</v>
      </c>
      <c r="I14" s="50" t="s">
        <v>91</v>
      </c>
      <c r="J14" s="51" t="s">
        <v>92</v>
      </c>
      <c r="K14" s="51" t="s">
        <v>93</v>
      </c>
      <c r="L14" s="51" t="s">
        <v>94</v>
      </c>
      <c r="M14" s="51" t="s">
        <v>95</v>
      </c>
      <c r="N14" s="51" t="s">
        <v>96</v>
      </c>
      <c r="O14" s="51" t="s">
        <v>97</v>
      </c>
      <c r="P14" s="51" t="s">
        <v>98</v>
      </c>
      <c r="Q14" s="51" t="s">
        <v>99</v>
      </c>
      <c r="R14" s="51" t="s">
        <v>101</v>
      </c>
      <c r="S14" s="51" t="s">
        <v>109</v>
      </c>
      <c r="T14" s="52" t="s">
        <v>110</v>
      </c>
      <c r="X14" s="50" t="s">
        <v>91</v>
      </c>
      <c r="Y14" s="51" t="s">
        <v>92</v>
      </c>
      <c r="Z14" s="51" t="s">
        <v>93</v>
      </c>
      <c r="AA14" s="51" t="s">
        <v>94</v>
      </c>
      <c r="AB14" s="51" t="s">
        <v>95</v>
      </c>
      <c r="AC14" s="51" t="s">
        <v>96</v>
      </c>
      <c r="AD14" s="51" t="s">
        <v>97</v>
      </c>
      <c r="AE14" s="51" t="s">
        <v>98</v>
      </c>
      <c r="AF14" s="51" t="s">
        <v>99</v>
      </c>
      <c r="AG14" s="51" t="s">
        <v>101</v>
      </c>
      <c r="AH14" s="51" t="s">
        <v>109</v>
      </c>
      <c r="AI14" s="52" t="s">
        <v>110</v>
      </c>
      <c r="AM14" s="50" t="s">
        <v>91</v>
      </c>
      <c r="AN14" s="51" t="s">
        <v>92</v>
      </c>
      <c r="AO14" s="51" t="s">
        <v>93</v>
      </c>
      <c r="AP14" s="51" t="s">
        <v>94</v>
      </c>
      <c r="AQ14" s="51" t="s">
        <v>95</v>
      </c>
      <c r="AR14" s="51" t="s">
        <v>96</v>
      </c>
      <c r="AS14" s="51" t="s">
        <v>97</v>
      </c>
      <c r="AT14" s="51" t="s">
        <v>98</v>
      </c>
      <c r="AU14" s="51" t="s">
        <v>99</v>
      </c>
      <c r="AV14" s="51" t="s">
        <v>101</v>
      </c>
      <c r="AW14" s="51" t="s">
        <v>109</v>
      </c>
      <c r="AX14" s="52" t="s">
        <v>110</v>
      </c>
      <c r="BB14" s="50" t="s">
        <v>91</v>
      </c>
      <c r="BC14" s="51" t="s">
        <v>92</v>
      </c>
      <c r="BD14" s="51" t="s">
        <v>93</v>
      </c>
      <c r="BE14" s="51" t="s">
        <v>94</v>
      </c>
      <c r="BF14" s="51" t="s">
        <v>95</v>
      </c>
      <c r="BG14" s="51" t="s">
        <v>96</v>
      </c>
      <c r="BH14" s="51" t="s">
        <v>97</v>
      </c>
      <c r="BI14" s="51" t="s">
        <v>98</v>
      </c>
      <c r="BJ14" s="51" t="s">
        <v>99</v>
      </c>
      <c r="BK14" s="51" t="s">
        <v>101</v>
      </c>
      <c r="BL14" s="51" t="s">
        <v>109</v>
      </c>
      <c r="BM14" s="52" t="s">
        <v>110</v>
      </c>
      <c r="BR14" s="103" t="s">
        <v>91</v>
      </c>
      <c r="BS14" s="103" t="e">
        <f>+I$17</f>
        <v>#DIV/0!</v>
      </c>
      <c r="BT14" s="115" t="s">
        <v>320</v>
      </c>
      <c r="BU14" s="112" t="s">
        <v>345</v>
      </c>
      <c r="BV14" s="112" t="e">
        <f>IF(BS14="Sin riesgo","No evidencia",IF(BS14="En riesgo","Evidencia",""))</f>
        <v>#DIV/0!</v>
      </c>
      <c r="BW14" s="112" t="s">
        <v>330</v>
      </c>
    </row>
    <row r="15" spans="1:75" ht="16.5" customHeight="1" thickBot="1" x14ac:dyDescent="0.3">
      <c r="A15" s="36" t="s">
        <v>95</v>
      </c>
      <c r="B15" s="36">
        <v>2</v>
      </c>
      <c r="C15" s="53" t="s">
        <v>1</v>
      </c>
      <c r="D15" s="99"/>
      <c r="E15" s="48" t="str">
        <f t="shared" ref="E15:E78" si="1">IF(D15="a",0,IF(D15="b",1,IF(D15="c",2,IF(D15="d",3,IF(D15="e",4,"")))))</f>
        <v/>
      </c>
      <c r="F15" s="49" t="str">
        <f t="shared" si="0"/>
        <v>ANS</v>
      </c>
      <c r="H15" s="54" t="s">
        <v>104</v>
      </c>
      <c r="I15" s="55" t="e">
        <f>SUMIF($A$14:$A$103,"SOM",$E$14:$E$103)/(COUNTIF($A$14:$A$103,"SOM")-COUNTIF($F$14:$F$103,"SOM"))</f>
        <v>#DIV/0!</v>
      </c>
      <c r="J15" s="55" t="e">
        <f>SUMIF($A$14:$A$103,"OBS",$E$14:$E$103)/(COUNTIF($A$14:$A$103,"OBS")-COUNTIF($F$14:$F$103,"OBS"))</f>
        <v>#DIV/0!</v>
      </c>
      <c r="K15" s="55" t="e">
        <f>(SUMIF($A$14:$A$103,"S.I",$E$14:$E$103))/(COUNTIF($A$14:$A$103,"S.I")-COUNTIF($F$14:$F$103,"S.I"))</f>
        <v>#DIV/0!</v>
      </c>
      <c r="L15" s="55" t="e">
        <f>SUMIF($A$14:$A$103,"DEP",$E$14:$E$103)/(COUNTIF($A$14:$A$103,"DEP")-COUNTIF($F$14:$F$103,"DEP"))</f>
        <v>#DIV/0!</v>
      </c>
      <c r="M15" s="55" t="e">
        <f>SUMIF($A$14:$A$103,"ANS",$E$14:$E$103)/(COUNTIF($A$14:$A$103,"ANS")-COUNTIF($F$14:$F$103,"ANS"))</f>
        <v>#DIV/0!</v>
      </c>
      <c r="N15" s="55" t="e">
        <f>SUMIF($A$14:$A$103,"HOS",$E$14:$E$103)/(COUNTIF($A$14:$A$103,"HOS")-COUNTIF($F$14:$F$103,"HOS"))</f>
        <v>#DIV/0!</v>
      </c>
      <c r="O15" s="55" t="e">
        <f>SUMIF($A$14:$A$103,"FOB",$E$14:$E$103)/(COUNTIF($A$14:$A$103,"FOB")-COUNTIF($F$14:$F$103,"FOB"))</f>
        <v>#DIV/0!</v>
      </c>
      <c r="P15" s="55" t="e">
        <f>SUMIF($A$14:$A$103,"PAR",$E$14:$E$103)/(COUNTIF($A$14:$A$103,"PAR")-COUNTIF($F$14:$F$103,"PAR"))</f>
        <v>#DIV/0!</v>
      </c>
      <c r="Q15" s="55" t="e">
        <f>SUMIF($A$14:$A$103,"PSIC",$E$14:$E$103)/(COUNTIF($A$14:$A$103,"PSIC")-COUNTIF($F$14:$F$103,"PSIC"))</f>
        <v>#DIV/0!</v>
      </c>
      <c r="R15" s="55">
        <f>SUM($E$14:$E$103)/COUNTIF($F$14:$F$103,"&lt;&gt;""")</f>
        <v>0</v>
      </c>
      <c r="S15" s="55">
        <f>COUNTIF($E$14:$E$103,"&gt;0")</f>
        <v>0</v>
      </c>
      <c r="T15" s="55" t="e">
        <f>SUM($E$14:$E$103)/COUNTIF($E$14:$E$103,"&gt;0")</f>
        <v>#DIV/0!</v>
      </c>
      <c r="W15" s="54" t="s">
        <v>104</v>
      </c>
      <c r="X15" s="55" t="e">
        <f>IF(COUNTIF($F$14:$F$103,"SOM")=0,SUMIF($A$14:$A$103,"SOM",#REF!)/COUNTIF($A$14:$A$103,"SOM"),SUMIF($A$14:$A$103,"SOM",#REF!)/COUNTIF($F$14:$F$103,"SOM"))</f>
        <v>#REF!</v>
      </c>
      <c r="Y15" s="56" t="e">
        <f>IF(COUNTIF($F$14:$F$103,"OBS")=0,SUMIF($A$14:$A$103,"OBS",#REF!)/COUNTIF($A$14:$A$103,"OBS"),SUMIF($A$14:$A$103,"OBS",#REF!)/COUNTIF($F$14:$F$103,"OBS"))</f>
        <v>#REF!</v>
      </c>
      <c r="Z15" s="56" t="e">
        <f>IF(COUNTIF($F$14:$F$103,"S.I")=0,SUMIF($A$14:$A$103,"S.I",#REF!)/COUNTIF($A$14:$A$103,"S.I"),SUMIF($A$14:$A$103,"S.I",#REF!)/COUNTIF($F$14:$F$103,"S.I"))</f>
        <v>#REF!</v>
      </c>
      <c r="AA15" s="56" t="e">
        <f>IF(COUNTIF($F$14:$F$103,"DEP")=0,SUMIF($A$14:$A$103,"DEP",#REF!)/COUNTIF($A$14:$A$103,"DEP"),SUMIF($A$14:$A$103,"DEP",#REF!)/COUNTIF($F$14:$F$103,"DEP"))</f>
        <v>#REF!</v>
      </c>
      <c r="AB15" s="56" t="e">
        <f>IF(COUNTIF($F$14:$F$103,"ANS")=0,SUMIF($A$14:$A$103,"ANS",#REF!)/COUNTIF($A$14:$A$103,"ANS"),SUMIF($A$14:$A$103,"ANS",#REF!)/COUNTIF($F$14:$F$103,"ANS"))</f>
        <v>#REF!</v>
      </c>
      <c r="AC15" s="56" t="e">
        <f>IF(COUNTIF($F$14:$F$103,"HOS")=0,SUMIF($A$14:$A$103,"HOS",#REF!)/COUNTIF($A$14:$A$103,"HOS"),SUMIF($A$14:$A$103,"HOS",#REF!)/COUNTIF($F$14:$F$103,"HOS"))</f>
        <v>#REF!</v>
      </c>
      <c r="AD15" s="56" t="e">
        <f>IF(COUNTIF($F$14:$F$103,"FOB")=0,SUMIF($A$14:$A$103,"FOB",#REF!)/COUNTIF($A$14:$A$103,"FOB"),SUMIF($A$14:$A$103,"FOB",#REF!)/COUNTIF($F$14:$F$103,"FOB"))</f>
        <v>#REF!</v>
      </c>
      <c r="AE15" s="56" t="e">
        <f>IF(COUNTIF($F$14:$F$103,"PAR")=0,SUMIF($A$14:$A$103,"PAR",#REF!)/COUNTIF($A$14:$A$103,"PAR"),SUMIF($A$14:$A$103,"PAR",#REF!)/COUNTIF($F$14:$F$103,"PAR"))</f>
        <v>#REF!</v>
      </c>
      <c r="AF15" s="56" t="e">
        <f>IF(COUNTIF($F$14:$F$103,"PSIC")=0,SUMIF($A$14:$A$103,"PSIC",#REF!)/COUNTIF($A$14:$A$103,"PSIC"),SUMIF($A$14:$A$103,"PSIC",#REF!)/COUNTIF($F$14:$F$103,"PSIC"))</f>
        <v>#REF!</v>
      </c>
      <c r="AG15" s="56" t="e">
        <f>SUM(#REF!)/COUNTIF(#REF!,"&lt;&gt;""")</f>
        <v>#REF!</v>
      </c>
      <c r="AH15" s="56">
        <f>COUNTIF(T45:T103,"&gt;0")</f>
        <v>0</v>
      </c>
      <c r="AI15" s="57" t="e">
        <f>SUM(#REF!)/COUNTIF(T45:T103,"&gt;0")</f>
        <v>#REF!</v>
      </c>
      <c r="AL15" s="54" t="s">
        <v>104</v>
      </c>
      <c r="AM15" s="55" t="e">
        <f>IF(COUNTIF($F$14:$F$103,"SOM")=0,SUMIF($A$14:$A$103,"SOM",#REF!)/COUNTIF($A$14:$A$103,"SOM"),SUMIF($A$14:$A$103,"SOM",#REF!)/COUNTIF($F$14:$F$103,"SOM"))</f>
        <v>#REF!</v>
      </c>
      <c r="AN15" s="56" t="e">
        <f>IF(COUNTIF($F$14:$F$103,"OBS")=0,SUMIF($A$14:$A$103,"OBS",#REF!)/COUNTIF($A$14:$A$103,"OBS"),SUMIF($A$14:$A$103,"OBS",#REF!)/COUNTIF($F$14:$F$103,"OBS"))</f>
        <v>#REF!</v>
      </c>
      <c r="AO15" s="56" t="e">
        <f>IF(COUNTIF($F$14:$F$103,"S.I")=0,SUMIF($A$14:$A$103,"S.I",#REF!)/COUNTIF($A$14:$A$103,"S.I"),SUMIF($A$14:$A$103,"S.I",#REF!)/COUNTIF($F$14:$F$103,"S.I"))</f>
        <v>#REF!</v>
      </c>
      <c r="AP15" s="56" t="e">
        <f>IF(COUNTIF($F$14:$F$103,"DEP")=0,SUMIF($A$14:$A$103,"DEP",#REF!)/COUNTIF($A$14:$A$103,"DEP"),SUMIF($A$14:$A$103,"DEP",#REF!)/COUNTIF($F$14:$F$103,"DEP"))</f>
        <v>#REF!</v>
      </c>
      <c r="AQ15" s="56" t="e">
        <f>IF(COUNTIF($F$14:$F$103,"ANS")=0,SUMIF($A$14:$A$103,"ANS",#REF!)/COUNTIF($A$14:$A$103,"ANS"),SUMIF($A$14:$A$103,"ANS",#REF!)/COUNTIF($F$14:$F$103,"ANS"))</f>
        <v>#REF!</v>
      </c>
      <c r="AR15" s="56" t="e">
        <f>IF(COUNTIF($F$14:$F$103,"HOS")=0,SUMIF($A$14:$A$103,"HOS",#REF!)/COUNTIF($A$14:$A$103,"HOS"),SUMIF($A$14:$A$103,"HOS",#REF!)/COUNTIF($F$14:$F$103,"HOS"))</f>
        <v>#REF!</v>
      </c>
      <c r="AS15" s="56" t="e">
        <f>IF(COUNTIF($F$14:$F$103,"FOB")=0,SUMIF($A$14:$A$103,"FOB",#REF!)/COUNTIF($A$14:$A$103,"FOB"),SUMIF($A$14:$A$103,"FOB",#REF!)/COUNTIF($F$14:$F$103,"FOB"))</f>
        <v>#REF!</v>
      </c>
      <c r="AT15" s="56" t="e">
        <f>IF(COUNTIF($F$14:$F$103,"PAR")=0,SUMIF($A$14:$A$103,"PAR",#REF!)/COUNTIF($A$14:$A$103,"PAR"),SUMIF($A$14:$A$103,"PAR",#REF!)/COUNTIF($F$14:$F$103,"PAR"))</f>
        <v>#REF!</v>
      </c>
      <c r="AU15" s="56" t="e">
        <f>IF(COUNTIF($F$14:$F$103,"PSIC")=0,SUMIF($A$14:$A$103,"PSIC",#REF!)/COUNTIF($A$14:$A$103,"PSIC"),SUMIF($A$14:$A$103,"PSIC",#REF!)/COUNTIF($F$14:$F$103,"PSIC"))</f>
        <v>#REF!</v>
      </c>
      <c r="AV15" s="56" t="e">
        <f>SUM(#REF!)/COUNTIF(#REF!,"&lt;&gt;""")</f>
        <v>#REF!</v>
      </c>
      <c r="AW15" s="56">
        <f>COUNTIF(AI45:AI103,"&gt;0")</f>
        <v>0</v>
      </c>
      <c r="AX15" s="57" t="e">
        <f>SUM(#REF!)/COUNTIF(AI45:AI103,"&gt;0")</f>
        <v>#REF!</v>
      </c>
      <c r="BA15" s="54" t="s">
        <v>104</v>
      </c>
      <c r="BB15" s="55" t="e">
        <f>IF(COUNTIF($F$14:$F$103,"SOM")=0,SUMIF($A$14:$A$103,"SOM",#REF!)/COUNTIF($A$14:$A$103,"SOM"),SUMIF($A$14:$A$103,"SOM",#REF!)/COUNTIF($F$14:$F$103,"SOM"))</f>
        <v>#REF!</v>
      </c>
      <c r="BC15" s="56" t="e">
        <f>IF(COUNTIF($F$14:$F$103,"OBS")=0,SUMIF($A$14:$A$103,"OBS",#REF!)/COUNTIF($A$14:$A$103,"OBS"),SUMIF($A$14:$A$103,"OBS",#REF!)/COUNTIF($F$14:$F$103,"OBS"))</f>
        <v>#REF!</v>
      </c>
      <c r="BD15" s="56" t="e">
        <f>IF(COUNTIF($F$14:$F$103,"S.I")=0,SUMIF($A$14:$A$103,"S.I",#REF!)/COUNTIF($A$14:$A$103,"S.I"),SUMIF($A$14:$A$103,"S.I",#REF!)/COUNTIF($F$14:$F$103,"S.I"))</f>
        <v>#REF!</v>
      </c>
      <c r="BE15" s="56" t="e">
        <f>IF(COUNTIF($F$14:$F$103,"DEP")=0,SUMIF($A$14:$A$103,"DEP",#REF!)/COUNTIF($A$14:$A$103,"DEP"),SUMIF($A$14:$A$103,"DEP",#REF!)/COUNTIF($F$14:$F$103,"DEP"))</f>
        <v>#REF!</v>
      </c>
      <c r="BF15" s="56" t="e">
        <f>IF(COUNTIF($F$14:$F$103,"ANS")=0,SUMIF($A$14:$A$103,"ANS",#REF!)/COUNTIF($A$14:$A$103,"ANS"),SUMIF($A$14:$A$103,"ANS",#REF!)/COUNTIF($F$14:$F$103,"ANS"))</f>
        <v>#REF!</v>
      </c>
      <c r="BG15" s="56" t="e">
        <f>IF(COUNTIF($F$14:$F$103,"HOS")=0,SUMIF($A$14:$A$103,"HOS",#REF!)/COUNTIF($A$14:$A$103,"HOS"),SUMIF($A$14:$A$103,"HOS",#REF!)/COUNTIF($F$14:$F$103,"HOS"))</f>
        <v>#REF!</v>
      </c>
      <c r="BH15" s="56" t="e">
        <f>IF(COUNTIF($F$14:$F$103,"FOB")=0,SUMIF($A$14:$A$103,"FOB",#REF!)/COUNTIF($A$14:$A$103,"FOB"),SUMIF($A$14:$A$103,"FOB",#REF!)/COUNTIF($F$14:$F$103,"FOB"))</f>
        <v>#REF!</v>
      </c>
      <c r="BI15" s="56" t="e">
        <f>IF(COUNTIF($F$14:$F$103,"PAR")=0,SUMIF($A$14:$A$103,"PAR",#REF!)/COUNTIF($A$14:$A$103,"PAR"),SUMIF($A$14:$A$103,"PAR",#REF!)/COUNTIF($F$14:$F$103,"PAR"))</f>
        <v>#REF!</v>
      </c>
      <c r="BJ15" s="56" t="e">
        <f>IF(COUNTIF($F$14:$F$103,"PSIC")=0,SUMIF($A$14:$A$103,"PSIC",#REF!)/COUNTIF($A$14:$A$103,"PSIC"),SUMIF($A$14:$A$103,"PSIC",#REF!)/COUNTIF($F$14:$F$103,"PSIC"))</f>
        <v>#REF!</v>
      </c>
      <c r="BK15" s="56" t="e">
        <f>SUM(#REF!)/COUNTIF(#REF!,"&lt;&gt;""")</f>
        <v>#REF!</v>
      </c>
      <c r="BL15" s="56">
        <f>COUNTIF(AX45:AX103,"&gt;0")</f>
        <v>0</v>
      </c>
      <c r="BM15" s="57" t="e">
        <f>SUM(#REF!)/COUNTIF(AX45:AX103,"&gt;0")</f>
        <v>#REF!</v>
      </c>
      <c r="BR15" s="104" t="s">
        <v>92</v>
      </c>
      <c r="BS15" s="104" t="e">
        <f>+J$17</f>
        <v>#DIV/0!</v>
      </c>
      <c r="BT15" s="116" t="s">
        <v>321</v>
      </c>
      <c r="BU15" s="112" t="s">
        <v>346</v>
      </c>
      <c r="BV15" s="112" t="e">
        <f t="shared" ref="BV15:BV22" si="2">IF(BS15="Sin riesgo","No evidencia",IF(BS15="En riesgo","Evidencia",""))</f>
        <v>#DIV/0!</v>
      </c>
      <c r="BW15" s="112" t="s">
        <v>332</v>
      </c>
    </row>
    <row r="16" spans="1:75" ht="16.5" customHeight="1" thickBot="1" x14ac:dyDescent="0.3">
      <c r="A16" s="36" t="s">
        <v>92</v>
      </c>
      <c r="B16" s="36">
        <v>3</v>
      </c>
      <c r="C16" s="58" t="s">
        <v>2</v>
      </c>
      <c r="D16" s="99"/>
      <c r="E16" s="48" t="str">
        <f t="shared" si="1"/>
        <v/>
      </c>
      <c r="F16" s="49" t="str">
        <f t="shared" si="0"/>
        <v>OBS</v>
      </c>
      <c r="H16" s="59" t="s">
        <v>105</v>
      </c>
      <c r="I16" s="60" t="e">
        <f>VLOOKUP(I15,I21:U43,13,TRUE)</f>
        <v>#DIV/0!</v>
      </c>
      <c r="J16" s="61" t="e">
        <f>VLOOKUP(J15,J21:U43,12,TRUE)</f>
        <v>#DIV/0!</v>
      </c>
      <c r="K16" s="61" t="e">
        <f>VLOOKUP(K15,K21:U43,11,TRUE)</f>
        <v>#DIV/0!</v>
      </c>
      <c r="L16" s="61" t="e">
        <f>VLOOKUP(L15,L21:U43,10,TRUE)</f>
        <v>#DIV/0!</v>
      </c>
      <c r="M16" s="61" t="e">
        <f>VLOOKUP(M15,M21:U43,9,TRUE)</f>
        <v>#DIV/0!</v>
      </c>
      <c r="N16" s="61" t="e">
        <f>VLOOKUP(N15,N21:U43,8,TRUE)</f>
        <v>#DIV/0!</v>
      </c>
      <c r="O16" s="61" t="e">
        <f>VLOOKUP(O15,O21:U43,7,TRUE)</f>
        <v>#DIV/0!</v>
      </c>
      <c r="P16" s="61" t="e">
        <f>VLOOKUP(P15,P21:U43,6,TRUE)</f>
        <v>#DIV/0!</v>
      </c>
      <c r="Q16" s="61" t="e">
        <f>VLOOKUP(Q15,Q21:U43,5,TRUE)</f>
        <v>#DIV/0!</v>
      </c>
      <c r="R16" s="61" t="e">
        <f>VLOOKUP(R15,R21:U43,4,TRUE)</f>
        <v>#N/A</v>
      </c>
      <c r="S16" s="61" t="e">
        <f>VLOOKUP(S15,S21:U43,3,TRUE)</f>
        <v>#N/A</v>
      </c>
      <c r="T16" s="62" t="e">
        <f>VLOOKUP(T15,T21:U43,2,TRUE)</f>
        <v>#DIV/0!</v>
      </c>
      <c r="W16" s="59" t="s">
        <v>105</v>
      </c>
      <c r="X16" s="63" t="e">
        <f>VLOOKUP(X15,X21:AJ43,13,TRUE)</f>
        <v>#REF!</v>
      </c>
      <c r="Y16" s="64" t="e">
        <f>VLOOKUP(Y15,Y21:AJ43,12,TRUE)</f>
        <v>#REF!</v>
      </c>
      <c r="Z16" s="64" t="e">
        <f>VLOOKUP(Z15,Z21:AJ43,11,TRUE)</f>
        <v>#REF!</v>
      </c>
      <c r="AA16" s="64" t="e">
        <f>VLOOKUP(AA15,AA21:AJ43,10,TRUE)</f>
        <v>#REF!</v>
      </c>
      <c r="AB16" s="64" t="e">
        <f>VLOOKUP(AB15,AB21:AJ43,9,TRUE)</f>
        <v>#REF!</v>
      </c>
      <c r="AC16" s="64" t="e">
        <f>VLOOKUP(AC15,AC21:AJ43,8,TRUE)</f>
        <v>#REF!</v>
      </c>
      <c r="AD16" s="64" t="e">
        <f>VLOOKUP(AD15,AD21:AJ43,7,TRUE)</f>
        <v>#REF!</v>
      </c>
      <c r="AE16" s="64" t="e">
        <f>VLOOKUP(AE15,AE21:AJ43,6,TRUE)</f>
        <v>#REF!</v>
      </c>
      <c r="AF16" s="64" t="e">
        <f>VLOOKUP(AF15,AF21:AJ43,5,TRUE)</f>
        <v>#REF!</v>
      </c>
      <c r="AG16" s="64" t="e">
        <f>VLOOKUP(AG15,AG21:AJ43,4,TRUE)</f>
        <v>#REF!</v>
      </c>
      <c r="AH16" s="64" t="e">
        <f>VLOOKUP(AH15,AH21:AJ43,3,TRUE)</f>
        <v>#N/A</v>
      </c>
      <c r="AI16" s="65" t="e">
        <f>VLOOKUP(AI15,AI21:AJ43,2,TRUE)</f>
        <v>#REF!</v>
      </c>
      <c r="AL16" s="59" t="s">
        <v>105</v>
      </c>
      <c r="AM16" s="63" t="e">
        <f>VLOOKUP(AM15,AM21:AY43,13,TRUE)</f>
        <v>#REF!</v>
      </c>
      <c r="AN16" s="64" t="e">
        <f>VLOOKUP(AN15,AN21:AY43,12,TRUE)</f>
        <v>#REF!</v>
      </c>
      <c r="AO16" s="64" t="e">
        <f>VLOOKUP(AO15,AO21:AY43,11,TRUE)</f>
        <v>#REF!</v>
      </c>
      <c r="AP16" s="64" t="e">
        <f>VLOOKUP(AP15,AP21:AY43,10,TRUE)</f>
        <v>#REF!</v>
      </c>
      <c r="AQ16" s="64" t="e">
        <f>VLOOKUP(AQ15,AQ21:AY43,9,TRUE)</f>
        <v>#REF!</v>
      </c>
      <c r="AR16" s="64" t="e">
        <f>VLOOKUP(AR15,AR21:AY43,8,TRUE)</f>
        <v>#REF!</v>
      </c>
      <c r="AS16" s="64" t="e">
        <f>VLOOKUP(AS15,AS21:AY43,7,TRUE)</f>
        <v>#REF!</v>
      </c>
      <c r="AT16" s="64" t="e">
        <f>VLOOKUP(AT15,AT21:AY43,6,TRUE)</f>
        <v>#REF!</v>
      </c>
      <c r="AU16" s="64" t="e">
        <f>VLOOKUP(AU15,AU21:AY43,5,TRUE)</f>
        <v>#REF!</v>
      </c>
      <c r="AV16" s="64" t="e">
        <f>VLOOKUP(AV15,AV21:AY43,4,TRUE)</f>
        <v>#REF!</v>
      </c>
      <c r="AW16" s="64" t="e">
        <f>VLOOKUP(AW15,AW21:AY43,3,TRUE)</f>
        <v>#N/A</v>
      </c>
      <c r="AX16" s="65" t="e">
        <f>VLOOKUP(AX15,AX21:AY43,2,TRUE)</f>
        <v>#REF!</v>
      </c>
      <c r="BA16" s="59" t="s">
        <v>105</v>
      </c>
      <c r="BB16" s="63" t="e">
        <f>VLOOKUP(BB15,BB21:BN43,13,TRUE)</f>
        <v>#REF!</v>
      </c>
      <c r="BC16" s="64" t="e">
        <f>VLOOKUP(BC15,BC21:BN43,12,TRUE)</f>
        <v>#REF!</v>
      </c>
      <c r="BD16" s="64" t="e">
        <f>VLOOKUP(BD15,BD21:BN43,11,TRUE)</f>
        <v>#REF!</v>
      </c>
      <c r="BE16" s="64" t="e">
        <f>VLOOKUP(BE15,BE21:BN43,10,TRUE)</f>
        <v>#REF!</v>
      </c>
      <c r="BF16" s="64" t="e">
        <f>VLOOKUP(BF15,BF21:BN43,9,TRUE)</f>
        <v>#REF!</v>
      </c>
      <c r="BG16" s="64" t="e">
        <f>VLOOKUP(BG15,BG21:BN43,8,TRUE)</f>
        <v>#REF!</v>
      </c>
      <c r="BH16" s="64" t="e">
        <f>VLOOKUP(BH15,BH21:BN43,7,TRUE)</f>
        <v>#REF!</v>
      </c>
      <c r="BI16" s="64" t="e">
        <f>VLOOKUP(BI15,BI21:BN43,6,TRUE)</f>
        <v>#REF!</v>
      </c>
      <c r="BJ16" s="64" t="e">
        <f>VLOOKUP(BJ15,BJ21:BN43,5,TRUE)</f>
        <v>#REF!</v>
      </c>
      <c r="BK16" s="64" t="e">
        <f>VLOOKUP(BK15,BK21:BN43,4,TRUE)</f>
        <v>#REF!</v>
      </c>
      <c r="BL16" s="64" t="e">
        <f>VLOOKUP(BL15,BL21:BN43,3,TRUE)</f>
        <v>#N/A</v>
      </c>
      <c r="BM16" s="65" t="e">
        <f>VLOOKUP(BM15,BM21:BN43,2,TRUE)</f>
        <v>#REF!</v>
      </c>
      <c r="BR16" s="104" t="s">
        <v>93</v>
      </c>
      <c r="BS16" s="104" t="e">
        <f>+K$17</f>
        <v>#DIV/0!</v>
      </c>
      <c r="BT16" s="116" t="s">
        <v>322</v>
      </c>
      <c r="BU16" s="112" t="s">
        <v>347</v>
      </c>
      <c r="BV16" s="112" t="e">
        <f t="shared" si="2"/>
        <v>#DIV/0!</v>
      </c>
      <c r="BW16" s="112" t="s">
        <v>333</v>
      </c>
    </row>
    <row r="17" spans="1:75" ht="16.5" customHeight="1" thickBot="1" x14ac:dyDescent="0.3">
      <c r="A17" s="36" t="s">
        <v>91</v>
      </c>
      <c r="B17" s="36">
        <v>4</v>
      </c>
      <c r="C17" s="53" t="s">
        <v>3</v>
      </c>
      <c r="D17" s="99"/>
      <c r="E17" s="48" t="str">
        <f t="shared" si="1"/>
        <v/>
      </c>
      <c r="F17" s="49" t="str">
        <f t="shared" si="0"/>
        <v>SOM</v>
      </c>
      <c r="H17" s="66" t="s">
        <v>297</v>
      </c>
      <c r="I17" s="67" t="e">
        <f>IF(I16&gt;63,"En riesgo","Sin riesgo")</f>
        <v>#DIV/0!</v>
      </c>
      <c r="J17" s="67" t="e">
        <f t="shared" ref="J17:Q17" si="3">IF(J16&gt;63,"En riesgo","Sin riesgo")</f>
        <v>#DIV/0!</v>
      </c>
      <c r="K17" s="67" t="e">
        <f t="shared" si="3"/>
        <v>#DIV/0!</v>
      </c>
      <c r="L17" s="67" t="e">
        <f t="shared" si="3"/>
        <v>#DIV/0!</v>
      </c>
      <c r="M17" s="67" t="e">
        <f t="shared" si="3"/>
        <v>#DIV/0!</v>
      </c>
      <c r="N17" s="67" t="e">
        <f t="shared" si="3"/>
        <v>#DIV/0!</v>
      </c>
      <c r="O17" s="67" t="e">
        <f t="shared" si="3"/>
        <v>#DIV/0!</v>
      </c>
      <c r="P17" s="67" t="e">
        <f t="shared" si="3"/>
        <v>#DIV/0!</v>
      </c>
      <c r="Q17" s="67" t="e">
        <f t="shared" si="3"/>
        <v>#DIV/0!</v>
      </c>
      <c r="R17" s="67" t="e">
        <f>IF(R16&gt;63,"En riesgo","Sin riesgo")</f>
        <v>#N/A</v>
      </c>
      <c r="S17" s="51" t="str">
        <f>IF(S15&lt;=3,"Tendencia a mostrarse exageradamente libre de sintomas. Probablemente se deba a un intento consciente de mostrarse mejor de lo que realmente está.",IF(S15&gt;50,"Tendencia a mostrar malestar exagerado o dramatización","Respuetas confiables"))</f>
        <v>Tendencia a mostrarse exageradamente libre de sintomas. Probablemente se deba a un intento consciente de mostrarse mejor de lo que realmente está.</v>
      </c>
      <c r="T17" s="52" t="e">
        <f>IF(T15&lt;1.05,"Tendencia a mostrarse libre de problemas psicológicos",IF(T15&gt;3.2,"Dramatismo",IF(T15&gt;3.5,"Dramtismo extremo","Respuestas confiables")))</f>
        <v>#DIV/0!</v>
      </c>
      <c r="BR17" s="104" t="s">
        <v>94</v>
      </c>
      <c r="BS17" s="104" t="e">
        <f>+L$17</f>
        <v>#DIV/0!</v>
      </c>
      <c r="BT17" s="116" t="s">
        <v>323</v>
      </c>
      <c r="BU17" s="112" t="s">
        <v>348</v>
      </c>
      <c r="BV17" s="112" t="e">
        <f t="shared" si="2"/>
        <v>#DIV/0!</v>
      </c>
      <c r="BW17" s="112" t="s">
        <v>334</v>
      </c>
    </row>
    <row r="18" spans="1:75" ht="16.5" customHeight="1" thickBot="1" x14ac:dyDescent="0.3">
      <c r="A18" s="36" t="s">
        <v>94</v>
      </c>
      <c r="B18" s="36">
        <v>5</v>
      </c>
      <c r="C18" s="58" t="s">
        <v>4</v>
      </c>
      <c r="D18" s="99"/>
      <c r="E18" s="48" t="str">
        <f t="shared" si="1"/>
        <v/>
      </c>
      <c r="F18" s="49" t="str">
        <f t="shared" si="0"/>
        <v>DEP</v>
      </c>
      <c r="H18" s="68"/>
      <c r="I18" s="69"/>
      <c r="BR18" s="104" t="s">
        <v>95</v>
      </c>
      <c r="BS18" s="104" t="e">
        <f>+M$17</f>
        <v>#DIV/0!</v>
      </c>
      <c r="BT18" s="116" t="s">
        <v>324</v>
      </c>
      <c r="BU18" s="112" t="s">
        <v>349</v>
      </c>
      <c r="BV18" s="112" t="e">
        <f t="shared" si="2"/>
        <v>#DIV/0!</v>
      </c>
      <c r="BW18" s="112" t="s">
        <v>335</v>
      </c>
    </row>
    <row r="19" spans="1:75" ht="16.5" customHeight="1" thickBot="1" x14ac:dyDescent="0.3">
      <c r="A19" s="36" t="s">
        <v>93</v>
      </c>
      <c r="B19" s="36">
        <v>6</v>
      </c>
      <c r="C19" s="53" t="s">
        <v>5</v>
      </c>
      <c r="D19" s="99"/>
      <c r="E19" s="48" t="str">
        <f t="shared" si="1"/>
        <v/>
      </c>
      <c r="F19" s="49" t="str">
        <f t="shared" si="0"/>
        <v>S.I</v>
      </c>
      <c r="H19" s="124" t="s">
        <v>356</v>
      </c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6"/>
      <c r="W19" s="127" t="s">
        <v>268</v>
      </c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9"/>
      <c r="AL19" s="127" t="s">
        <v>271</v>
      </c>
      <c r="AM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9"/>
      <c r="BA19" s="127" t="s">
        <v>275</v>
      </c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9"/>
      <c r="BR19" s="104" t="s">
        <v>96</v>
      </c>
      <c r="BS19" s="104" t="e">
        <f>+N$17</f>
        <v>#DIV/0!</v>
      </c>
      <c r="BT19" s="116" t="s">
        <v>325</v>
      </c>
      <c r="BU19" s="112" t="s">
        <v>350</v>
      </c>
      <c r="BV19" s="112" t="e">
        <f t="shared" si="2"/>
        <v>#DIV/0!</v>
      </c>
      <c r="BW19" s="112" t="s">
        <v>336</v>
      </c>
    </row>
    <row r="20" spans="1:75" ht="16.5" customHeight="1" thickBot="1" x14ac:dyDescent="0.3">
      <c r="A20" s="36" t="s">
        <v>99</v>
      </c>
      <c r="B20" s="36">
        <v>7</v>
      </c>
      <c r="C20" s="58" t="s">
        <v>6</v>
      </c>
      <c r="D20" s="99"/>
      <c r="E20" s="48" t="str">
        <f t="shared" si="1"/>
        <v/>
      </c>
      <c r="F20" s="49" t="str">
        <f t="shared" si="0"/>
        <v>PSIC</v>
      </c>
      <c r="H20" s="70" t="s">
        <v>108</v>
      </c>
      <c r="I20" s="71" t="s">
        <v>91</v>
      </c>
      <c r="J20" s="71" t="s">
        <v>92</v>
      </c>
      <c r="K20" s="71" t="s">
        <v>107</v>
      </c>
      <c r="L20" s="71" t="s">
        <v>94</v>
      </c>
      <c r="M20" s="71" t="s">
        <v>95</v>
      </c>
      <c r="N20" s="71" t="s">
        <v>96</v>
      </c>
      <c r="O20" s="71" t="s">
        <v>97</v>
      </c>
      <c r="P20" s="71" t="s">
        <v>98</v>
      </c>
      <c r="Q20" s="71" t="s">
        <v>99</v>
      </c>
      <c r="R20" s="71" t="s">
        <v>101</v>
      </c>
      <c r="S20" s="71" t="s">
        <v>109</v>
      </c>
      <c r="T20" s="71" t="s">
        <v>110</v>
      </c>
      <c r="U20" s="72" t="s">
        <v>108</v>
      </c>
      <c r="W20" s="73" t="s">
        <v>108</v>
      </c>
      <c r="X20" s="74" t="s">
        <v>91</v>
      </c>
      <c r="Y20" s="74" t="s">
        <v>92</v>
      </c>
      <c r="Z20" s="74" t="s">
        <v>107</v>
      </c>
      <c r="AA20" s="74" t="s">
        <v>94</v>
      </c>
      <c r="AB20" s="74" t="s">
        <v>95</v>
      </c>
      <c r="AC20" s="74" t="s">
        <v>96</v>
      </c>
      <c r="AD20" s="74" t="s">
        <v>97</v>
      </c>
      <c r="AE20" s="74" t="s">
        <v>98</v>
      </c>
      <c r="AF20" s="74" t="s">
        <v>99</v>
      </c>
      <c r="AG20" s="74" t="s">
        <v>101</v>
      </c>
      <c r="AH20" s="74" t="s">
        <v>109</v>
      </c>
      <c r="AI20" s="74" t="s">
        <v>110</v>
      </c>
      <c r="AJ20" s="75" t="s">
        <v>108</v>
      </c>
      <c r="AL20" s="76" t="s">
        <v>108</v>
      </c>
      <c r="AM20" s="77" t="s">
        <v>91</v>
      </c>
      <c r="AN20" s="77" t="s">
        <v>92</v>
      </c>
      <c r="AO20" s="77" t="s">
        <v>107</v>
      </c>
      <c r="AP20" s="77" t="s">
        <v>94</v>
      </c>
      <c r="AQ20" s="77" t="s">
        <v>95</v>
      </c>
      <c r="AR20" s="77" t="s">
        <v>96</v>
      </c>
      <c r="AS20" s="77" t="s">
        <v>97</v>
      </c>
      <c r="AT20" s="77" t="s">
        <v>98</v>
      </c>
      <c r="AU20" s="77" t="s">
        <v>99</v>
      </c>
      <c r="AV20" s="77" t="s">
        <v>101</v>
      </c>
      <c r="AW20" s="77" t="s">
        <v>109</v>
      </c>
      <c r="AX20" s="77" t="s">
        <v>110</v>
      </c>
      <c r="AY20" s="78" t="s">
        <v>108</v>
      </c>
      <c r="BA20" s="79" t="s">
        <v>108</v>
      </c>
      <c r="BB20" s="80" t="s">
        <v>91</v>
      </c>
      <c r="BC20" s="80" t="s">
        <v>92</v>
      </c>
      <c r="BD20" s="80" t="s">
        <v>107</v>
      </c>
      <c r="BE20" s="80" t="s">
        <v>94</v>
      </c>
      <c r="BF20" s="80" t="s">
        <v>95</v>
      </c>
      <c r="BG20" s="80" t="s">
        <v>96</v>
      </c>
      <c r="BH20" s="80" t="s">
        <v>97</v>
      </c>
      <c r="BI20" s="80" t="s">
        <v>98</v>
      </c>
      <c r="BJ20" s="80" t="s">
        <v>99</v>
      </c>
      <c r="BK20" s="80" t="s">
        <v>101</v>
      </c>
      <c r="BL20" s="80" t="s">
        <v>109</v>
      </c>
      <c r="BM20" s="80" t="s">
        <v>110</v>
      </c>
      <c r="BN20" s="81" t="s">
        <v>108</v>
      </c>
      <c r="BR20" s="104" t="s">
        <v>97</v>
      </c>
      <c r="BS20" s="104" t="e">
        <f>+O$17</f>
        <v>#DIV/0!</v>
      </c>
      <c r="BT20" s="116" t="s">
        <v>326</v>
      </c>
      <c r="BU20" s="112" t="s">
        <v>351</v>
      </c>
      <c r="BV20" s="112" t="e">
        <f t="shared" si="2"/>
        <v>#DIV/0!</v>
      </c>
      <c r="BW20" s="112" t="s">
        <v>337</v>
      </c>
    </row>
    <row r="21" spans="1:75" ht="16.5" customHeight="1" thickBot="1" x14ac:dyDescent="0.3">
      <c r="A21" s="36" t="s">
        <v>98</v>
      </c>
      <c r="B21" s="36">
        <v>8</v>
      </c>
      <c r="C21" s="53" t="s">
        <v>7</v>
      </c>
      <c r="D21" s="99"/>
      <c r="E21" s="48" t="str">
        <f t="shared" si="1"/>
        <v/>
      </c>
      <c r="F21" s="49" t="str">
        <f t="shared" si="0"/>
        <v>PAR</v>
      </c>
      <c r="H21" s="82">
        <v>30</v>
      </c>
      <c r="I21" s="83">
        <v>0</v>
      </c>
      <c r="J21" s="83">
        <v>0</v>
      </c>
      <c r="K21" s="83">
        <v>0</v>
      </c>
      <c r="L21" s="83">
        <v>0.05</v>
      </c>
      <c r="M21" s="83">
        <v>0</v>
      </c>
      <c r="N21" s="83">
        <v>0</v>
      </c>
      <c r="O21" s="83">
        <v>0</v>
      </c>
      <c r="P21" s="83">
        <v>0</v>
      </c>
      <c r="Q21" s="83">
        <v>0</v>
      </c>
      <c r="R21" s="83">
        <v>0.15</v>
      </c>
      <c r="S21" s="83">
        <v>9</v>
      </c>
      <c r="T21" s="83">
        <v>1.1200000000000001</v>
      </c>
      <c r="U21" s="84">
        <v>30</v>
      </c>
      <c r="W21" s="85">
        <v>30</v>
      </c>
      <c r="X21" s="86">
        <v>0</v>
      </c>
      <c r="Y21" s="86">
        <v>0</v>
      </c>
      <c r="Z21" s="86">
        <v>0</v>
      </c>
      <c r="AA21" s="86">
        <v>0.05</v>
      </c>
      <c r="AB21" s="86">
        <v>0</v>
      </c>
      <c r="AC21" s="86">
        <v>0</v>
      </c>
      <c r="AD21" s="86">
        <v>0</v>
      </c>
      <c r="AE21" s="86">
        <v>0</v>
      </c>
      <c r="AF21" s="86">
        <v>0</v>
      </c>
      <c r="AG21" s="86">
        <v>0.15</v>
      </c>
      <c r="AH21" s="86">
        <v>9</v>
      </c>
      <c r="AI21" s="86">
        <v>1.1200000000000001</v>
      </c>
      <c r="AJ21" s="87">
        <v>30</v>
      </c>
      <c r="AL21" s="88">
        <v>30</v>
      </c>
      <c r="AM21" s="89">
        <v>0</v>
      </c>
      <c r="AN21" s="89">
        <v>0</v>
      </c>
      <c r="AO21" s="89">
        <v>0</v>
      </c>
      <c r="AP21" s="89">
        <v>0</v>
      </c>
      <c r="AQ21" s="89">
        <v>0</v>
      </c>
      <c r="AR21" s="89">
        <v>0</v>
      </c>
      <c r="AS21" s="89">
        <v>0</v>
      </c>
      <c r="AT21" s="89">
        <v>0</v>
      </c>
      <c r="AU21" s="89">
        <v>0</v>
      </c>
      <c r="AV21" s="89">
        <v>0.06</v>
      </c>
      <c r="AW21" s="89">
        <v>3.56</v>
      </c>
      <c r="AX21" s="89">
        <v>0.9</v>
      </c>
      <c r="AY21" s="90">
        <v>30</v>
      </c>
      <c r="BA21" s="85">
        <v>30</v>
      </c>
      <c r="BB21" s="86">
        <v>0</v>
      </c>
      <c r="BC21" s="86">
        <v>0.1</v>
      </c>
      <c r="BD21" s="86">
        <v>0.11</v>
      </c>
      <c r="BE21" s="86">
        <v>0.08</v>
      </c>
      <c r="BF21" s="86">
        <v>0</v>
      </c>
      <c r="BG21" s="86">
        <v>0</v>
      </c>
      <c r="BH21" s="86">
        <v>0</v>
      </c>
      <c r="BI21" s="86">
        <v>0</v>
      </c>
      <c r="BJ21" s="86">
        <v>0</v>
      </c>
      <c r="BK21" s="86">
        <v>7.0000000000000007E-2</v>
      </c>
      <c r="BL21" s="86">
        <v>7</v>
      </c>
      <c r="BM21" s="86">
        <v>1</v>
      </c>
      <c r="BN21" s="87">
        <v>30</v>
      </c>
      <c r="BR21" s="104" t="s">
        <v>98</v>
      </c>
      <c r="BS21" s="104" t="e">
        <f>+P$17</f>
        <v>#DIV/0!</v>
      </c>
      <c r="BT21" s="116" t="s">
        <v>327</v>
      </c>
      <c r="BU21" s="112" t="s">
        <v>352</v>
      </c>
      <c r="BV21" s="112" t="e">
        <f t="shared" si="2"/>
        <v>#DIV/0!</v>
      </c>
      <c r="BW21" s="112" t="s">
        <v>338</v>
      </c>
    </row>
    <row r="22" spans="1:75" ht="16.5" customHeight="1" thickBot="1" x14ac:dyDescent="0.3">
      <c r="A22" s="36" t="s">
        <v>92</v>
      </c>
      <c r="B22" s="36">
        <v>9</v>
      </c>
      <c r="C22" s="58" t="s">
        <v>8</v>
      </c>
      <c r="D22" s="99"/>
      <c r="E22" s="48" t="str">
        <f t="shared" si="1"/>
        <v/>
      </c>
      <c r="F22" s="49" t="str">
        <f t="shared" si="0"/>
        <v>OBS</v>
      </c>
      <c r="H22" s="82">
        <f>+(-H21+H23)/2+H21</f>
        <v>32.5</v>
      </c>
      <c r="I22" s="83">
        <f>+(-I21+I23)/2+I21</f>
        <v>8.5000000000000006E-2</v>
      </c>
      <c r="J22" s="83">
        <f>+(-J21+J23)/2+J21</f>
        <v>0.1</v>
      </c>
      <c r="K22" s="83">
        <f t="shared" ref="K22:U22" si="4">+(-K21+K23)/2+K21</f>
        <v>5.5E-2</v>
      </c>
      <c r="L22" s="83">
        <f t="shared" si="4"/>
        <v>0.14000000000000001</v>
      </c>
      <c r="M22" s="83">
        <f t="shared" si="4"/>
        <v>0.1</v>
      </c>
      <c r="N22" s="83">
        <f t="shared" si="4"/>
        <v>0</v>
      </c>
      <c r="O22" s="83">
        <f t="shared" si="4"/>
        <v>0</v>
      </c>
      <c r="P22" s="83">
        <f t="shared" si="4"/>
        <v>0</v>
      </c>
      <c r="Q22" s="83">
        <f t="shared" si="4"/>
        <v>0</v>
      </c>
      <c r="R22" s="83">
        <f t="shared" si="4"/>
        <v>0.21500000000000002</v>
      </c>
      <c r="S22" s="83">
        <f t="shared" si="4"/>
        <v>12</v>
      </c>
      <c r="T22" s="83">
        <f t="shared" si="4"/>
        <v>1.1850000000000001</v>
      </c>
      <c r="U22" s="84">
        <f t="shared" si="4"/>
        <v>32.5</v>
      </c>
      <c r="W22" s="88">
        <f t="shared" ref="W22:AJ22" si="5">(-W21+W23)/2+W21</f>
        <v>32.5</v>
      </c>
      <c r="X22" s="89">
        <f t="shared" si="5"/>
        <v>8.5000000000000006E-2</v>
      </c>
      <c r="Y22" s="89">
        <f t="shared" si="5"/>
        <v>0.1</v>
      </c>
      <c r="Z22" s="89">
        <f t="shared" si="5"/>
        <v>5.5E-2</v>
      </c>
      <c r="AA22" s="89">
        <f t="shared" si="5"/>
        <v>0.14000000000000001</v>
      </c>
      <c r="AB22" s="89">
        <f t="shared" si="5"/>
        <v>0.1</v>
      </c>
      <c r="AC22" s="89">
        <f t="shared" si="5"/>
        <v>0</v>
      </c>
      <c r="AD22" s="89">
        <f t="shared" si="5"/>
        <v>0</v>
      </c>
      <c r="AE22" s="89">
        <f t="shared" si="5"/>
        <v>0</v>
      </c>
      <c r="AF22" s="89">
        <f t="shared" si="5"/>
        <v>0</v>
      </c>
      <c r="AG22" s="89">
        <f t="shared" si="5"/>
        <v>0.21500000000000002</v>
      </c>
      <c r="AH22" s="89">
        <f t="shared" si="5"/>
        <v>12</v>
      </c>
      <c r="AI22" s="89">
        <f t="shared" si="5"/>
        <v>1.1850000000000001</v>
      </c>
      <c r="AJ22" s="90">
        <f t="shared" si="5"/>
        <v>32.5</v>
      </c>
      <c r="AL22" s="88">
        <f t="shared" ref="AL22:AY22" si="6">(-AL21+AL23)/2+AL21</f>
        <v>32.5</v>
      </c>
      <c r="AM22" s="89">
        <f t="shared" si="6"/>
        <v>0</v>
      </c>
      <c r="AN22" s="89">
        <f t="shared" si="6"/>
        <v>0.05</v>
      </c>
      <c r="AO22" s="89">
        <f t="shared" si="6"/>
        <v>5.5E-2</v>
      </c>
      <c r="AP22" s="89">
        <f t="shared" si="6"/>
        <v>0</v>
      </c>
      <c r="AQ22" s="89">
        <f t="shared" si="6"/>
        <v>0</v>
      </c>
      <c r="AR22" s="89">
        <f t="shared" si="6"/>
        <v>0</v>
      </c>
      <c r="AS22" s="89">
        <f t="shared" si="6"/>
        <v>0</v>
      </c>
      <c r="AT22" s="89">
        <f t="shared" si="6"/>
        <v>0</v>
      </c>
      <c r="AU22" s="89">
        <f t="shared" si="6"/>
        <v>0</v>
      </c>
      <c r="AV22" s="89">
        <f t="shared" si="6"/>
        <v>0.09</v>
      </c>
      <c r="AW22" s="89">
        <f t="shared" si="6"/>
        <v>5.7799999999999994</v>
      </c>
      <c r="AX22" s="89">
        <f t="shared" si="6"/>
        <v>0.95</v>
      </c>
      <c r="AY22" s="90">
        <f t="shared" si="6"/>
        <v>32.5</v>
      </c>
      <c r="BA22" s="88">
        <f t="shared" ref="BA22:BN22" si="7">(-BA21+BA23)/2+BA21</f>
        <v>32.5</v>
      </c>
      <c r="BB22" s="89">
        <f t="shared" si="7"/>
        <v>0.04</v>
      </c>
      <c r="BC22" s="89">
        <f t="shared" si="7"/>
        <v>0.15000000000000002</v>
      </c>
      <c r="BD22" s="89">
        <f t="shared" si="7"/>
        <v>0.16500000000000001</v>
      </c>
      <c r="BE22" s="89">
        <f t="shared" si="7"/>
        <v>0.11499999999999999</v>
      </c>
      <c r="BF22" s="89">
        <f t="shared" si="7"/>
        <v>0.05</v>
      </c>
      <c r="BG22" s="89">
        <f t="shared" si="7"/>
        <v>8.5000000000000006E-2</v>
      </c>
      <c r="BH22" s="89">
        <f t="shared" si="7"/>
        <v>0</v>
      </c>
      <c r="BI22" s="89">
        <f t="shared" si="7"/>
        <v>0</v>
      </c>
      <c r="BJ22" s="89">
        <f t="shared" si="7"/>
        <v>0</v>
      </c>
      <c r="BK22" s="89">
        <f t="shared" si="7"/>
        <v>0.13</v>
      </c>
      <c r="BL22" s="89">
        <f t="shared" si="7"/>
        <v>10</v>
      </c>
      <c r="BM22" s="89">
        <f t="shared" si="7"/>
        <v>1.05</v>
      </c>
      <c r="BN22" s="90">
        <f t="shared" si="7"/>
        <v>32.5</v>
      </c>
      <c r="BR22" s="104" t="s">
        <v>99</v>
      </c>
      <c r="BS22" s="104" t="e">
        <f>+Q$17</f>
        <v>#DIV/0!</v>
      </c>
      <c r="BT22" s="116" t="s">
        <v>328</v>
      </c>
      <c r="BU22" s="112" t="s">
        <v>353</v>
      </c>
      <c r="BV22" s="112" t="e">
        <f t="shared" si="2"/>
        <v>#DIV/0!</v>
      </c>
      <c r="BW22" s="112" t="s">
        <v>339</v>
      </c>
    </row>
    <row r="23" spans="1:75" ht="16.5" customHeight="1" thickBot="1" x14ac:dyDescent="0.3">
      <c r="A23" s="36" t="s">
        <v>92</v>
      </c>
      <c r="B23" s="36">
        <v>10</v>
      </c>
      <c r="C23" s="53" t="s">
        <v>9</v>
      </c>
      <c r="D23" s="99"/>
      <c r="E23" s="48" t="str">
        <f t="shared" si="1"/>
        <v/>
      </c>
      <c r="F23" s="49" t="str">
        <f t="shared" si="0"/>
        <v>OBS</v>
      </c>
      <c r="H23" s="88">
        <v>35</v>
      </c>
      <c r="I23" s="89">
        <v>0.17</v>
      </c>
      <c r="J23" s="89">
        <v>0.2</v>
      </c>
      <c r="K23" s="89">
        <v>0.11</v>
      </c>
      <c r="L23" s="89">
        <v>0.23</v>
      </c>
      <c r="M23" s="89">
        <v>0.2</v>
      </c>
      <c r="N23" s="89">
        <v>0</v>
      </c>
      <c r="O23" s="89">
        <v>0</v>
      </c>
      <c r="P23" s="89">
        <v>0</v>
      </c>
      <c r="Q23" s="89">
        <v>0</v>
      </c>
      <c r="R23" s="89">
        <v>0.28000000000000003</v>
      </c>
      <c r="S23" s="89">
        <v>15</v>
      </c>
      <c r="T23" s="89">
        <v>1.25</v>
      </c>
      <c r="U23" s="90">
        <v>35</v>
      </c>
      <c r="W23" s="88">
        <v>35</v>
      </c>
      <c r="X23" s="89">
        <v>0.17</v>
      </c>
      <c r="Y23" s="89">
        <v>0.2</v>
      </c>
      <c r="Z23" s="89">
        <v>0.11</v>
      </c>
      <c r="AA23" s="89">
        <v>0.23</v>
      </c>
      <c r="AB23" s="89">
        <v>0.2</v>
      </c>
      <c r="AC23" s="89">
        <v>0</v>
      </c>
      <c r="AD23" s="89">
        <v>0</v>
      </c>
      <c r="AE23" s="89">
        <v>0</v>
      </c>
      <c r="AF23" s="89">
        <v>0</v>
      </c>
      <c r="AG23" s="89">
        <v>0.28000000000000003</v>
      </c>
      <c r="AH23" s="89">
        <v>15</v>
      </c>
      <c r="AI23" s="89">
        <v>1.25</v>
      </c>
      <c r="AJ23" s="90">
        <v>35</v>
      </c>
      <c r="AL23" s="88">
        <v>35</v>
      </c>
      <c r="AM23" s="89">
        <v>0</v>
      </c>
      <c r="AN23" s="89">
        <v>0.1</v>
      </c>
      <c r="AO23" s="89">
        <v>0.11</v>
      </c>
      <c r="AP23" s="89">
        <v>0</v>
      </c>
      <c r="AQ23" s="89">
        <v>0</v>
      </c>
      <c r="AR23" s="89">
        <v>0</v>
      </c>
      <c r="AS23" s="89">
        <v>0</v>
      </c>
      <c r="AT23" s="89">
        <v>0</v>
      </c>
      <c r="AU23" s="89">
        <v>0</v>
      </c>
      <c r="AV23" s="89">
        <v>0.12</v>
      </c>
      <c r="AW23" s="89">
        <v>8</v>
      </c>
      <c r="AX23" s="89">
        <v>1</v>
      </c>
      <c r="AY23" s="90">
        <v>35</v>
      </c>
      <c r="BA23" s="88">
        <v>35</v>
      </c>
      <c r="BB23" s="89">
        <v>0.08</v>
      </c>
      <c r="BC23" s="89">
        <v>0.2</v>
      </c>
      <c r="BD23" s="89">
        <v>0.22</v>
      </c>
      <c r="BE23" s="89">
        <v>0.15</v>
      </c>
      <c r="BF23" s="89">
        <v>0.1</v>
      </c>
      <c r="BG23" s="89">
        <v>0.17</v>
      </c>
      <c r="BH23" s="89">
        <v>0</v>
      </c>
      <c r="BI23" s="89">
        <v>0</v>
      </c>
      <c r="BJ23" s="89">
        <v>0</v>
      </c>
      <c r="BK23" s="89">
        <v>0.19</v>
      </c>
      <c r="BL23" s="89">
        <v>13</v>
      </c>
      <c r="BM23" s="89">
        <v>1.1000000000000001</v>
      </c>
      <c r="BN23" s="90">
        <v>35</v>
      </c>
      <c r="BR23" s="104" t="s">
        <v>101</v>
      </c>
      <c r="BS23" s="104" t="e">
        <f>+R$17</f>
        <v>#N/A</v>
      </c>
      <c r="BT23" s="116" t="s">
        <v>340</v>
      </c>
      <c r="BU23" s="112" t="s">
        <v>344</v>
      </c>
      <c r="BV23" s="112" t="str">
        <f>IF(ISERROR(BS23),"Imposible calcular",IF(BS23="Sin riesgo","No evidencia un elevado",IF(BS23="En riesgo","Evidencia un elevado","")))</f>
        <v>Imposible calcular</v>
      </c>
      <c r="BW23" s="112" t="s">
        <v>341</v>
      </c>
    </row>
    <row r="24" spans="1:75" ht="16.5" customHeight="1" thickBot="1" x14ac:dyDescent="0.3">
      <c r="A24" s="36" t="s">
        <v>96</v>
      </c>
      <c r="B24" s="36">
        <v>11</v>
      </c>
      <c r="C24" s="58" t="s">
        <v>10</v>
      </c>
      <c r="D24" s="99"/>
      <c r="E24" s="48" t="str">
        <f t="shared" si="1"/>
        <v/>
      </c>
      <c r="F24" s="49" t="str">
        <f t="shared" si="0"/>
        <v>HOS</v>
      </c>
      <c r="H24" s="88">
        <f>+(-H23+H25)/2+H23</f>
        <v>37.5</v>
      </c>
      <c r="I24" s="89">
        <f>+(-I23+I25)/2+I23</f>
        <v>0.21000000000000002</v>
      </c>
      <c r="J24" s="89">
        <f>+(-J23+J25)/2+J23</f>
        <v>0.30000000000000004</v>
      </c>
      <c r="K24" s="89">
        <f t="shared" ref="K24:U24" si="8">+(-K23+K25)/2+K23</f>
        <v>0.16500000000000001</v>
      </c>
      <c r="L24" s="89">
        <f t="shared" si="8"/>
        <v>0.30499999999999999</v>
      </c>
      <c r="M24" s="89">
        <f t="shared" si="8"/>
        <v>0.25</v>
      </c>
      <c r="N24" s="89">
        <f t="shared" si="8"/>
        <v>8.5000000000000006E-2</v>
      </c>
      <c r="O24" s="89">
        <f t="shared" si="8"/>
        <v>0</v>
      </c>
      <c r="P24" s="89">
        <f t="shared" si="8"/>
        <v>8.5000000000000006E-2</v>
      </c>
      <c r="Q24" s="89">
        <f t="shared" si="8"/>
        <v>0.05</v>
      </c>
      <c r="R24" s="89">
        <f t="shared" si="8"/>
        <v>0.32500000000000001</v>
      </c>
      <c r="S24" s="89">
        <f t="shared" si="8"/>
        <v>18.060000000000002</v>
      </c>
      <c r="T24" s="89">
        <f t="shared" si="8"/>
        <v>1.3399999999999999</v>
      </c>
      <c r="U24" s="90">
        <f t="shared" si="8"/>
        <v>37.5</v>
      </c>
      <c r="W24" s="88">
        <f t="shared" ref="W24:AJ24" si="9">(-W23+W25)/2+W23</f>
        <v>37.5</v>
      </c>
      <c r="X24" s="89">
        <f t="shared" si="9"/>
        <v>0.21000000000000002</v>
      </c>
      <c r="Y24" s="89">
        <f t="shared" si="9"/>
        <v>0.30000000000000004</v>
      </c>
      <c r="Z24" s="89">
        <f t="shared" si="9"/>
        <v>0.16500000000000001</v>
      </c>
      <c r="AA24" s="89">
        <f t="shared" si="9"/>
        <v>0.30499999999999999</v>
      </c>
      <c r="AB24" s="89">
        <f t="shared" si="9"/>
        <v>0.25</v>
      </c>
      <c r="AC24" s="89">
        <f t="shared" si="9"/>
        <v>8.5000000000000006E-2</v>
      </c>
      <c r="AD24" s="89">
        <f t="shared" si="9"/>
        <v>0</v>
      </c>
      <c r="AE24" s="89">
        <f t="shared" si="9"/>
        <v>8.5000000000000006E-2</v>
      </c>
      <c r="AF24" s="89">
        <f t="shared" si="9"/>
        <v>0.05</v>
      </c>
      <c r="AG24" s="89">
        <f t="shared" si="9"/>
        <v>0.32500000000000001</v>
      </c>
      <c r="AH24" s="89">
        <f t="shared" si="9"/>
        <v>18.060000000000002</v>
      </c>
      <c r="AI24" s="89">
        <f t="shared" si="9"/>
        <v>1.3399999999999999</v>
      </c>
      <c r="AJ24" s="90">
        <f t="shared" si="9"/>
        <v>37.5</v>
      </c>
      <c r="AL24" s="88">
        <f t="shared" ref="AL24:AY24" si="10">(-AL23+AL25)/2+AL23</f>
        <v>37.5</v>
      </c>
      <c r="AM24" s="89">
        <f t="shared" si="10"/>
        <v>0.01</v>
      </c>
      <c r="AN24" s="89">
        <f t="shared" si="10"/>
        <v>0.2</v>
      </c>
      <c r="AO24" s="89">
        <f t="shared" si="10"/>
        <v>0.16500000000000001</v>
      </c>
      <c r="AP24" s="89">
        <f t="shared" si="10"/>
        <v>7.4999999999999997E-2</v>
      </c>
      <c r="AQ24" s="89">
        <f t="shared" si="10"/>
        <v>0.05</v>
      </c>
      <c r="AR24" s="89">
        <f t="shared" si="10"/>
        <v>8.5000000000000006E-2</v>
      </c>
      <c r="AS24" s="89">
        <f t="shared" si="10"/>
        <v>0</v>
      </c>
      <c r="AT24" s="89">
        <f t="shared" si="10"/>
        <v>0</v>
      </c>
      <c r="AU24" s="89">
        <f t="shared" si="10"/>
        <v>0</v>
      </c>
      <c r="AV24" s="89">
        <f t="shared" si="10"/>
        <v>0.155</v>
      </c>
      <c r="AW24" s="89">
        <f t="shared" si="10"/>
        <v>10.5</v>
      </c>
      <c r="AX24" s="89">
        <f t="shared" si="10"/>
        <v>1.085</v>
      </c>
      <c r="AY24" s="90">
        <f t="shared" si="10"/>
        <v>37.5</v>
      </c>
      <c r="BA24" s="88">
        <f t="shared" ref="BA24:BN24" si="11">(-BA23+BA25)/2+BA23</f>
        <v>37.5</v>
      </c>
      <c r="BB24" s="89">
        <f t="shared" si="11"/>
        <v>0.16499999999999998</v>
      </c>
      <c r="BC24" s="89">
        <f t="shared" si="11"/>
        <v>0.35</v>
      </c>
      <c r="BD24" s="89">
        <f t="shared" si="11"/>
        <v>0.33</v>
      </c>
      <c r="BE24" s="89">
        <f t="shared" si="11"/>
        <v>0.26500000000000001</v>
      </c>
      <c r="BF24" s="89">
        <f t="shared" si="11"/>
        <v>0.2</v>
      </c>
      <c r="BG24" s="89">
        <f t="shared" si="11"/>
        <v>0.22999999999999998</v>
      </c>
      <c r="BH24" s="89">
        <f t="shared" si="11"/>
        <v>0</v>
      </c>
      <c r="BI24" s="89">
        <f t="shared" si="11"/>
        <v>8.5000000000000006E-2</v>
      </c>
      <c r="BJ24" s="89">
        <f t="shared" si="11"/>
        <v>0.05</v>
      </c>
      <c r="BK24" s="89">
        <f t="shared" si="11"/>
        <v>0.28000000000000003</v>
      </c>
      <c r="BL24" s="89">
        <f t="shared" si="11"/>
        <v>17.5</v>
      </c>
      <c r="BM24" s="89">
        <f t="shared" si="11"/>
        <v>1.2000000000000002</v>
      </c>
      <c r="BN24" s="90">
        <f t="shared" si="11"/>
        <v>37.5</v>
      </c>
      <c r="BR24" s="104" t="s">
        <v>109</v>
      </c>
      <c r="BS24" s="104" t="str">
        <f>+S$17</f>
        <v>Tendencia a mostrarse exageradamente libre de sintomas. Probablemente se deba a un intento consciente de mostrarse mejor de lo que realmente está.</v>
      </c>
      <c r="BT24" s="116" t="s">
        <v>342</v>
      </c>
      <c r="BU24" s="112" t="s">
        <v>343</v>
      </c>
      <c r="BV24" s="113"/>
      <c r="BW24" s="104" t="str">
        <f>BS24</f>
        <v>Tendencia a mostrarse exageradamente libre de sintomas. Probablemente se deba a un intento consciente de mostrarse mejor de lo que realmente está.</v>
      </c>
    </row>
    <row r="25" spans="1:75" ht="16.5" customHeight="1" thickBot="1" x14ac:dyDescent="0.3">
      <c r="A25" s="36" t="s">
        <v>91</v>
      </c>
      <c r="B25" s="36">
        <v>12</v>
      </c>
      <c r="C25" s="53" t="s">
        <v>11</v>
      </c>
      <c r="D25" s="99"/>
      <c r="E25" s="48" t="str">
        <f t="shared" si="1"/>
        <v/>
      </c>
      <c r="F25" s="49" t="str">
        <f t="shared" si="0"/>
        <v>SOM</v>
      </c>
      <c r="H25" s="88">
        <v>40</v>
      </c>
      <c r="I25" s="89">
        <v>0.25</v>
      </c>
      <c r="J25" s="89">
        <v>0.4</v>
      </c>
      <c r="K25" s="89">
        <v>0.22</v>
      </c>
      <c r="L25" s="89">
        <v>0.38</v>
      </c>
      <c r="M25" s="89">
        <v>0.3</v>
      </c>
      <c r="N25" s="89">
        <v>0.17</v>
      </c>
      <c r="O25" s="89">
        <v>0</v>
      </c>
      <c r="P25" s="89">
        <v>0.17</v>
      </c>
      <c r="Q25" s="89">
        <v>0.1</v>
      </c>
      <c r="R25" s="89">
        <v>0.37</v>
      </c>
      <c r="S25" s="89">
        <v>21.12</v>
      </c>
      <c r="T25" s="89">
        <v>1.43</v>
      </c>
      <c r="U25" s="90">
        <v>40</v>
      </c>
      <c r="W25" s="88">
        <v>40</v>
      </c>
      <c r="X25" s="89">
        <v>0.25</v>
      </c>
      <c r="Y25" s="89">
        <v>0.4</v>
      </c>
      <c r="Z25" s="89">
        <v>0.22</v>
      </c>
      <c r="AA25" s="89">
        <v>0.38</v>
      </c>
      <c r="AB25" s="89">
        <v>0.3</v>
      </c>
      <c r="AC25" s="89">
        <v>0.17</v>
      </c>
      <c r="AD25" s="89">
        <v>0</v>
      </c>
      <c r="AE25" s="89">
        <v>0.17</v>
      </c>
      <c r="AF25" s="89">
        <v>0.1</v>
      </c>
      <c r="AG25" s="89">
        <v>0.37</v>
      </c>
      <c r="AH25" s="89">
        <v>21.12</v>
      </c>
      <c r="AI25" s="89">
        <v>1.43</v>
      </c>
      <c r="AJ25" s="90">
        <v>40</v>
      </c>
      <c r="AL25" s="88">
        <v>40</v>
      </c>
      <c r="AM25" s="89">
        <v>0.02</v>
      </c>
      <c r="AN25" s="89">
        <v>0.3</v>
      </c>
      <c r="AO25" s="89">
        <v>0.22</v>
      </c>
      <c r="AP25" s="89">
        <v>0.15</v>
      </c>
      <c r="AQ25" s="89">
        <v>0.1</v>
      </c>
      <c r="AR25" s="89">
        <v>0.17</v>
      </c>
      <c r="AS25" s="89">
        <v>0</v>
      </c>
      <c r="AT25" s="89">
        <v>0</v>
      </c>
      <c r="AU25" s="89">
        <v>0</v>
      </c>
      <c r="AV25" s="89">
        <v>0.19</v>
      </c>
      <c r="AW25" s="89">
        <v>13</v>
      </c>
      <c r="AX25" s="89">
        <v>1.17</v>
      </c>
      <c r="AY25" s="90">
        <v>40</v>
      </c>
      <c r="BA25" s="88">
        <v>40</v>
      </c>
      <c r="BB25" s="89">
        <v>0.25</v>
      </c>
      <c r="BC25" s="89">
        <v>0.5</v>
      </c>
      <c r="BD25" s="89">
        <v>0.44</v>
      </c>
      <c r="BE25" s="89">
        <v>0.38</v>
      </c>
      <c r="BF25" s="89">
        <v>0.3</v>
      </c>
      <c r="BG25" s="89">
        <v>0.28999999999999998</v>
      </c>
      <c r="BH25" s="89">
        <v>0</v>
      </c>
      <c r="BI25" s="89">
        <v>0.17</v>
      </c>
      <c r="BJ25" s="89">
        <v>0.1</v>
      </c>
      <c r="BK25" s="89">
        <v>0.37</v>
      </c>
      <c r="BL25" s="89">
        <v>22</v>
      </c>
      <c r="BM25" s="89">
        <v>1.3</v>
      </c>
      <c r="BN25" s="90">
        <v>40</v>
      </c>
      <c r="BR25" s="104" t="s">
        <v>110</v>
      </c>
      <c r="BS25" s="104" t="e">
        <f>+T$17</f>
        <v>#DIV/0!</v>
      </c>
      <c r="BT25" s="113"/>
      <c r="BU25" s="113"/>
      <c r="BV25" s="113"/>
      <c r="BW25" s="104"/>
    </row>
    <row r="26" spans="1:75" ht="16.5" customHeight="1" thickBot="1" x14ac:dyDescent="0.3">
      <c r="A26" s="36" t="s">
        <v>97</v>
      </c>
      <c r="B26" s="36">
        <v>13</v>
      </c>
      <c r="C26" s="58" t="s">
        <v>12</v>
      </c>
      <c r="D26" s="99"/>
      <c r="E26" s="48" t="str">
        <f t="shared" si="1"/>
        <v/>
      </c>
      <c r="F26" s="49" t="str">
        <f t="shared" si="0"/>
        <v>FOB</v>
      </c>
      <c r="H26" s="88">
        <f>+(-H25+H27)/2+H25</f>
        <v>42.5</v>
      </c>
      <c r="I26" s="89">
        <f>+(-I25+I27)/2+I25</f>
        <v>0.33499999999999996</v>
      </c>
      <c r="J26" s="89">
        <f>+(-J25+J27)/2+J25</f>
        <v>0.55000000000000004</v>
      </c>
      <c r="K26" s="89">
        <f t="shared" ref="K26:U26" si="12">+(-K25+K27)/2+K25</f>
        <v>0.33</v>
      </c>
      <c r="L26" s="89">
        <f t="shared" si="12"/>
        <v>0.5</v>
      </c>
      <c r="M26" s="89">
        <f t="shared" si="12"/>
        <v>0.44999999999999996</v>
      </c>
      <c r="N26" s="89">
        <f t="shared" si="12"/>
        <v>0.25</v>
      </c>
      <c r="O26" s="89">
        <f t="shared" si="12"/>
        <v>0</v>
      </c>
      <c r="P26" s="89">
        <f t="shared" si="12"/>
        <v>0.25</v>
      </c>
      <c r="Q26" s="89">
        <f t="shared" si="12"/>
        <v>0.15000000000000002</v>
      </c>
      <c r="R26" s="89">
        <f t="shared" si="12"/>
        <v>0.44500000000000001</v>
      </c>
      <c r="S26" s="89">
        <f t="shared" si="12"/>
        <v>25.060000000000002</v>
      </c>
      <c r="T26" s="89">
        <f t="shared" si="12"/>
        <v>1.51</v>
      </c>
      <c r="U26" s="90">
        <f t="shared" si="12"/>
        <v>42.5</v>
      </c>
      <c r="W26" s="88">
        <f t="shared" ref="W26:AJ26" si="13">(-W25+W27)/2+W25</f>
        <v>42.5</v>
      </c>
      <c r="X26" s="89">
        <f t="shared" si="13"/>
        <v>0.33499999999999996</v>
      </c>
      <c r="Y26" s="89">
        <f t="shared" si="13"/>
        <v>0.55000000000000004</v>
      </c>
      <c r="Z26" s="89">
        <f t="shared" si="13"/>
        <v>0.33</v>
      </c>
      <c r="AA26" s="89">
        <f t="shared" si="13"/>
        <v>0.5</v>
      </c>
      <c r="AB26" s="89">
        <f t="shared" si="13"/>
        <v>0.44999999999999996</v>
      </c>
      <c r="AC26" s="89">
        <f t="shared" si="13"/>
        <v>0.25</v>
      </c>
      <c r="AD26" s="89">
        <f t="shared" si="13"/>
        <v>0</v>
      </c>
      <c r="AE26" s="89">
        <f t="shared" si="13"/>
        <v>0.25</v>
      </c>
      <c r="AF26" s="89">
        <f t="shared" si="13"/>
        <v>0.15000000000000002</v>
      </c>
      <c r="AG26" s="89">
        <f t="shared" si="13"/>
        <v>0.44500000000000001</v>
      </c>
      <c r="AH26" s="89">
        <f t="shared" si="13"/>
        <v>25.060000000000002</v>
      </c>
      <c r="AI26" s="89">
        <f t="shared" si="13"/>
        <v>1.51</v>
      </c>
      <c r="AJ26" s="90">
        <f t="shared" si="13"/>
        <v>42.5</v>
      </c>
      <c r="AL26" s="88">
        <f t="shared" ref="AL26:AY26" si="14">(-AL25+AL27)/2+AL25</f>
        <v>42.5</v>
      </c>
      <c r="AM26" s="89">
        <f t="shared" si="14"/>
        <v>9.5000000000000015E-2</v>
      </c>
      <c r="AN26" s="89">
        <f t="shared" si="14"/>
        <v>0.4</v>
      </c>
      <c r="AO26" s="89">
        <f t="shared" si="14"/>
        <v>0.28999999999999998</v>
      </c>
      <c r="AP26" s="89">
        <f t="shared" si="14"/>
        <v>0.25</v>
      </c>
      <c r="AQ26" s="89">
        <f t="shared" si="14"/>
        <v>0.15000000000000002</v>
      </c>
      <c r="AR26" s="89">
        <f t="shared" si="14"/>
        <v>0.25</v>
      </c>
      <c r="AS26" s="89">
        <f t="shared" si="14"/>
        <v>0</v>
      </c>
      <c r="AT26" s="89">
        <f t="shared" si="14"/>
        <v>0.16500000000000001</v>
      </c>
      <c r="AU26" s="89">
        <f t="shared" si="14"/>
        <v>0.05</v>
      </c>
      <c r="AV26" s="89">
        <f t="shared" si="14"/>
        <v>0.26</v>
      </c>
      <c r="AW26" s="89">
        <f t="shared" si="14"/>
        <v>16.5</v>
      </c>
      <c r="AX26" s="89">
        <f t="shared" si="14"/>
        <v>1.25</v>
      </c>
      <c r="AY26" s="90">
        <f t="shared" si="14"/>
        <v>42.5</v>
      </c>
      <c r="BA26" s="88">
        <f t="shared" ref="BA26:BN26" si="15">(-BA25+BA27)/2+BA25</f>
        <v>42.5</v>
      </c>
      <c r="BB26" s="89">
        <f t="shared" si="15"/>
        <v>0.33499999999999996</v>
      </c>
      <c r="BC26" s="89">
        <f t="shared" si="15"/>
        <v>0.65</v>
      </c>
      <c r="BD26" s="89">
        <f t="shared" si="15"/>
        <v>0.61</v>
      </c>
      <c r="BE26" s="89">
        <f t="shared" si="15"/>
        <v>0.54</v>
      </c>
      <c r="BF26" s="89">
        <f t="shared" si="15"/>
        <v>0.4</v>
      </c>
      <c r="BG26" s="89">
        <f t="shared" si="15"/>
        <v>0.39500000000000002</v>
      </c>
      <c r="BH26" s="89">
        <f t="shared" si="15"/>
        <v>7.0000000000000007E-2</v>
      </c>
      <c r="BI26" s="89">
        <f t="shared" si="15"/>
        <v>0.33499999999999996</v>
      </c>
      <c r="BJ26" s="89">
        <f t="shared" si="15"/>
        <v>0.15000000000000002</v>
      </c>
      <c r="BK26" s="89">
        <f t="shared" si="15"/>
        <v>0.46500000000000002</v>
      </c>
      <c r="BL26" s="89">
        <f t="shared" si="15"/>
        <v>27.065000000000001</v>
      </c>
      <c r="BM26" s="89">
        <f t="shared" si="15"/>
        <v>1.4</v>
      </c>
      <c r="BN26" s="90">
        <f t="shared" si="15"/>
        <v>42.5</v>
      </c>
    </row>
    <row r="27" spans="1:75" ht="16.5" customHeight="1" thickBot="1" x14ac:dyDescent="0.3">
      <c r="A27" s="36" t="s">
        <v>94</v>
      </c>
      <c r="B27" s="36">
        <v>14</v>
      </c>
      <c r="C27" s="53" t="s">
        <v>13</v>
      </c>
      <c r="D27" s="99"/>
      <c r="E27" s="48" t="str">
        <f t="shared" si="1"/>
        <v/>
      </c>
      <c r="F27" s="49" t="str">
        <f t="shared" si="0"/>
        <v>DEP</v>
      </c>
      <c r="H27" s="88">
        <v>45</v>
      </c>
      <c r="I27" s="89">
        <v>0.42</v>
      </c>
      <c r="J27" s="89">
        <v>0.7</v>
      </c>
      <c r="K27" s="89">
        <v>0.44</v>
      </c>
      <c r="L27" s="89">
        <v>0.62</v>
      </c>
      <c r="M27" s="89">
        <v>0.6</v>
      </c>
      <c r="N27" s="89">
        <v>0.33</v>
      </c>
      <c r="O27" s="89">
        <v>0</v>
      </c>
      <c r="P27" s="89">
        <v>0.33</v>
      </c>
      <c r="Q27" s="89">
        <v>0.2</v>
      </c>
      <c r="R27" s="89">
        <v>0.52</v>
      </c>
      <c r="S27" s="89">
        <v>29</v>
      </c>
      <c r="T27" s="89">
        <v>1.59</v>
      </c>
      <c r="U27" s="90">
        <v>45</v>
      </c>
      <c r="W27" s="88">
        <v>45</v>
      </c>
      <c r="X27" s="89">
        <v>0.42</v>
      </c>
      <c r="Y27" s="89">
        <v>0.7</v>
      </c>
      <c r="Z27" s="89">
        <v>0.44</v>
      </c>
      <c r="AA27" s="89">
        <v>0.62</v>
      </c>
      <c r="AB27" s="89">
        <v>0.6</v>
      </c>
      <c r="AC27" s="89">
        <v>0.33</v>
      </c>
      <c r="AD27" s="89">
        <v>0</v>
      </c>
      <c r="AE27" s="89">
        <v>0.33</v>
      </c>
      <c r="AF27" s="89">
        <v>0.2</v>
      </c>
      <c r="AG27" s="89">
        <v>0.52</v>
      </c>
      <c r="AH27" s="89">
        <v>29</v>
      </c>
      <c r="AI27" s="89">
        <v>1.59</v>
      </c>
      <c r="AJ27" s="90">
        <v>45</v>
      </c>
      <c r="AL27" s="88">
        <v>45</v>
      </c>
      <c r="AM27" s="89">
        <v>0.17</v>
      </c>
      <c r="AN27" s="89">
        <v>0.5</v>
      </c>
      <c r="AO27" s="89">
        <v>0.36</v>
      </c>
      <c r="AP27" s="89">
        <v>0.35</v>
      </c>
      <c r="AQ27" s="89">
        <v>0.2</v>
      </c>
      <c r="AR27" s="89">
        <v>0.33</v>
      </c>
      <c r="AS27" s="89">
        <v>0</v>
      </c>
      <c r="AT27" s="89">
        <v>0.33</v>
      </c>
      <c r="AU27" s="89">
        <v>0.1</v>
      </c>
      <c r="AV27" s="89">
        <v>0.33</v>
      </c>
      <c r="AW27" s="89">
        <v>20</v>
      </c>
      <c r="AX27" s="89">
        <v>1.33</v>
      </c>
      <c r="AY27" s="90">
        <v>45</v>
      </c>
      <c r="BA27" s="88">
        <v>45</v>
      </c>
      <c r="BB27" s="89">
        <v>0.42</v>
      </c>
      <c r="BC27" s="89">
        <v>0.8</v>
      </c>
      <c r="BD27" s="89">
        <v>0.78</v>
      </c>
      <c r="BE27" s="89">
        <v>0.7</v>
      </c>
      <c r="BF27" s="89">
        <v>0.5</v>
      </c>
      <c r="BG27" s="89">
        <v>0.5</v>
      </c>
      <c r="BH27" s="89">
        <v>0.14000000000000001</v>
      </c>
      <c r="BI27" s="89">
        <v>0.5</v>
      </c>
      <c r="BJ27" s="89">
        <v>0.2</v>
      </c>
      <c r="BK27" s="89">
        <v>0.56000000000000005</v>
      </c>
      <c r="BL27" s="89">
        <v>32.130000000000003</v>
      </c>
      <c r="BM27" s="89">
        <v>1.5</v>
      </c>
      <c r="BN27" s="90">
        <v>45</v>
      </c>
    </row>
    <row r="28" spans="1:75" ht="16.5" customHeight="1" thickBot="1" x14ac:dyDescent="0.3">
      <c r="A28" s="36" t="s">
        <v>94</v>
      </c>
      <c r="B28" s="36">
        <v>15</v>
      </c>
      <c r="C28" s="58" t="s">
        <v>14</v>
      </c>
      <c r="D28" s="99"/>
      <c r="E28" s="48" t="str">
        <f t="shared" si="1"/>
        <v/>
      </c>
      <c r="F28" s="49" t="str">
        <f t="shared" si="0"/>
        <v>DEP</v>
      </c>
      <c r="H28" s="88">
        <f>+(-H27+H29)/2+H27</f>
        <v>47.5</v>
      </c>
      <c r="I28" s="89">
        <f>+(-I27+I29)/2+I27</f>
        <v>0.58499999999999996</v>
      </c>
      <c r="J28" s="89">
        <f>+(-J27+J29)/2+J27</f>
        <v>0.85</v>
      </c>
      <c r="K28" s="89">
        <f t="shared" ref="K28:U28" si="16">+(-K27+K29)/2+K27</f>
        <v>0.55500000000000005</v>
      </c>
      <c r="L28" s="89">
        <f t="shared" si="16"/>
        <v>0.73499999999999999</v>
      </c>
      <c r="M28" s="89">
        <f t="shared" si="16"/>
        <v>0.7</v>
      </c>
      <c r="N28" s="89">
        <f t="shared" si="16"/>
        <v>0.5</v>
      </c>
      <c r="O28" s="89">
        <f t="shared" si="16"/>
        <v>0.14499999999999999</v>
      </c>
      <c r="P28" s="89">
        <f t="shared" si="16"/>
        <v>0.5</v>
      </c>
      <c r="Q28" s="89">
        <f t="shared" si="16"/>
        <v>0.30000000000000004</v>
      </c>
      <c r="R28" s="89">
        <f t="shared" si="16"/>
        <v>0.625</v>
      </c>
      <c r="S28" s="89">
        <f t="shared" si="16"/>
        <v>33</v>
      </c>
      <c r="T28" s="89">
        <f t="shared" si="16"/>
        <v>1.7200000000000002</v>
      </c>
      <c r="U28" s="90">
        <f t="shared" si="16"/>
        <v>47.5</v>
      </c>
      <c r="W28" s="88">
        <f t="shared" ref="W28:AJ28" si="17">(-W27+W29)/2+W27</f>
        <v>47.5</v>
      </c>
      <c r="X28" s="89">
        <f t="shared" si="17"/>
        <v>0.58499999999999996</v>
      </c>
      <c r="Y28" s="89">
        <f t="shared" si="17"/>
        <v>0.85</v>
      </c>
      <c r="Z28" s="89">
        <f t="shared" si="17"/>
        <v>0.55500000000000005</v>
      </c>
      <c r="AA28" s="89">
        <f t="shared" si="17"/>
        <v>0.73499999999999999</v>
      </c>
      <c r="AB28" s="89">
        <f t="shared" si="17"/>
        <v>0.7</v>
      </c>
      <c r="AC28" s="89">
        <f t="shared" si="17"/>
        <v>0.5</v>
      </c>
      <c r="AD28" s="89">
        <f t="shared" si="17"/>
        <v>0.14499999999999999</v>
      </c>
      <c r="AE28" s="89">
        <f t="shared" si="17"/>
        <v>0.5</v>
      </c>
      <c r="AF28" s="89">
        <f t="shared" si="17"/>
        <v>0.30000000000000004</v>
      </c>
      <c r="AG28" s="89">
        <f t="shared" si="17"/>
        <v>0.625</v>
      </c>
      <c r="AH28" s="89">
        <f t="shared" si="17"/>
        <v>33</v>
      </c>
      <c r="AI28" s="89">
        <f t="shared" si="17"/>
        <v>1.7200000000000002</v>
      </c>
      <c r="AJ28" s="90">
        <f t="shared" si="17"/>
        <v>47.5</v>
      </c>
      <c r="AL28" s="88">
        <f t="shared" ref="AL28:AY28" si="18">(-AL27+AL29)/2+AL27</f>
        <v>47.5</v>
      </c>
      <c r="AM28" s="89">
        <f t="shared" si="18"/>
        <v>0.25</v>
      </c>
      <c r="AN28" s="89">
        <f t="shared" si="18"/>
        <v>0.7</v>
      </c>
      <c r="AO28" s="89">
        <f t="shared" si="18"/>
        <v>0.51500000000000001</v>
      </c>
      <c r="AP28" s="89">
        <f t="shared" si="18"/>
        <v>0.44500000000000001</v>
      </c>
      <c r="AQ28" s="89">
        <f t="shared" si="18"/>
        <v>0.30000000000000004</v>
      </c>
      <c r="AR28" s="89">
        <f t="shared" si="18"/>
        <v>0.5</v>
      </c>
      <c r="AS28" s="89">
        <f t="shared" si="18"/>
        <v>7.0000000000000007E-2</v>
      </c>
      <c r="AT28" s="89">
        <f t="shared" si="18"/>
        <v>0.5</v>
      </c>
      <c r="AU28" s="89">
        <f t="shared" si="18"/>
        <v>0.2</v>
      </c>
      <c r="AV28" s="89">
        <f t="shared" si="18"/>
        <v>0.42500000000000004</v>
      </c>
      <c r="AW28" s="89">
        <f t="shared" si="18"/>
        <v>25</v>
      </c>
      <c r="AX28" s="89">
        <f t="shared" si="18"/>
        <v>1.4350000000000001</v>
      </c>
      <c r="AY28" s="90">
        <f t="shared" si="18"/>
        <v>47.5</v>
      </c>
      <c r="BA28" s="88">
        <f t="shared" ref="BA28:BN28" si="19">(-BA27+BA29)/2+BA27</f>
        <v>47.5</v>
      </c>
      <c r="BB28" s="89">
        <f t="shared" si="19"/>
        <v>0.58499999999999996</v>
      </c>
      <c r="BC28" s="89">
        <f t="shared" si="19"/>
        <v>1</v>
      </c>
      <c r="BD28" s="89">
        <f t="shared" si="19"/>
        <v>0.94500000000000006</v>
      </c>
      <c r="BE28" s="89">
        <f t="shared" si="19"/>
        <v>0.85</v>
      </c>
      <c r="BF28" s="89">
        <f t="shared" si="19"/>
        <v>0.7</v>
      </c>
      <c r="BG28" s="89">
        <f t="shared" si="19"/>
        <v>0.66500000000000004</v>
      </c>
      <c r="BH28" s="89">
        <f t="shared" si="19"/>
        <v>0.215</v>
      </c>
      <c r="BI28" s="89">
        <f t="shared" si="19"/>
        <v>0.66500000000000004</v>
      </c>
      <c r="BJ28" s="89">
        <f t="shared" si="19"/>
        <v>0.4</v>
      </c>
      <c r="BK28" s="89">
        <f t="shared" si="19"/>
        <v>0.7</v>
      </c>
      <c r="BL28" s="89">
        <f t="shared" si="19"/>
        <v>37.564999999999998</v>
      </c>
      <c r="BM28" s="89">
        <f t="shared" si="19"/>
        <v>1.63</v>
      </c>
      <c r="BN28" s="90">
        <f t="shared" si="19"/>
        <v>47.5</v>
      </c>
    </row>
    <row r="29" spans="1:75" ht="16.5" customHeight="1" thickBot="1" x14ac:dyDescent="0.3">
      <c r="A29" s="36" t="s">
        <v>99</v>
      </c>
      <c r="B29" s="36">
        <v>16</v>
      </c>
      <c r="C29" s="53" t="s">
        <v>15</v>
      </c>
      <c r="D29" s="99"/>
      <c r="E29" s="48" t="str">
        <f t="shared" si="1"/>
        <v/>
      </c>
      <c r="F29" s="49" t="str">
        <f t="shared" si="0"/>
        <v>PSIC</v>
      </c>
      <c r="H29" s="88">
        <v>50</v>
      </c>
      <c r="I29" s="89">
        <v>0.75</v>
      </c>
      <c r="J29" s="89">
        <v>1</v>
      </c>
      <c r="K29" s="89">
        <v>0.67</v>
      </c>
      <c r="L29" s="89">
        <v>0.85</v>
      </c>
      <c r="M29" s="89">
        <v>0.8</v>
      </c>
      <c r="N29" s="89">
        <v>0.67</v>
      </c>
      <c r="O29" s="89">
        <v>0.28999999999999998</v>
      </c>
      <c r="P29" s="89">
        <v>0.67</v>
      </c>
      <c r="Q29" s="89">
        <v>0.4</v>
      </c>
      <c r="R29" s="89">
        <v>0.73</v>
      </c>
      <c r="S29" s="89">
        <v>37</v>
      </c>
      <c r="T29" s="89">
        <v>1.85</v>
      </c>
      <c r="U29" s="90">
        <v>50</v>
      </c>
      <c r="W29" s="88">
        <v>50</v>
      </c>
      <c r="X29" s="89">
        <v>0.75</v>
      </c>
      <c r="Y29" s="89">
        <v>1</v>
      </c>
      <c r="Z29" s="89">
        <v>0.67</v>
      </c>
      <c r="AA29" s="89">
        <v>0.85</v>
      </c>
      <c r="AB29" s="89">
        <v>0.8</v>
      </c>
      <c r="AC29" s="89">
        <v>0.67</v>
      </c>
      <c r="AD29" s="89">
        <v>0.28999999999999998</v>
      </c>
      <c r="AE29" s="89">
        <v>0.67</v>
      </c>
      <c r="AF29" s="89">
        <v>0.4</v>
      </c>
      <c r="AG29" s="89">
        <v>0.73</v>
      </c>
      <c r="AH29" s="89">
        <v>37</v>
      </c>
      <c r="AI29" s="89">
        <v>1.85</v>
      </c>
      <c r="AJ29" s="90">
        <v>50</v>
      </c>
      <c r="AL29" s="88">
        <v>50</v>
      </c>
      <c r="AM29" s="89">
        <v>0.33</v>
      </c>
      <c r="AN29" s="89">
        <v>0.9</v>
      </c>
      <c r="AO29" s="89">
        <v>0.67</v>
      </c>
      <c r="AP29" s="89">
        <v>0.54</v>
      </c>
      <c r="AQ29" s="89">
        <v>0.4</v>
      </c>
      <c r="AR29" s="89">
        <v>0.67</v>
      </c>
      <c r="AS29" s="89">
        <v>0.14000000000000001</v>
      </c>
      <c r="AT29" s="89">
        <v>0.67</v>
      </c>
      <c r="AU29" s="89">
        <v>0.3</v>
      </c>
      <c r="AV29" s="89">
        <v>0.52</v>
      </c>
      <c r="AW29" s="89">
        <v>30</v>
      </c>
      <c r="AX29" s="89">
        <v>1.54</v>
      </c>
      <c r="AY29" s="90">
        <v>50</v>
      </c>
      <c r="BA29" s="88">
        <v>50</v>
      </c>
      <c r="BB29" s="89">
        <v>0.75</v>
      </c>
      <c r="BC29" s="89">
        <v>1.2</v>
      </c>
      <c r="BD29" s="89">
        <v>1.1100000000000001</v>
      </c>
      <c r="BE29" s="89">
        <v>1</v>
      </c>
      <c r="BF29" s="89">
        <v>0.9</v>
      </c>
      <c r="BG29" s="89">
        <v>0.83</v>
      </c>
      <c r="BH29" s="89">
        <v>0.28999999999999998</v>
      </c>
      <c r="BI29" s="89">
        <v>0.83</v>
      </c>
      <c r="BJ29" s="89">
        <v>0.6</v>
      </c>
      <c r="BK29" s="89">
        <v>0.84</v>
      </c>
      <c r="BL29" s="89">
        <v>43</v>
      </c>
      <c r="BM29" s="89">
        <v>1.76</v>
      </c>
      <c r="BN29" s="90">
        <v>50</v>
      </c>
    </row>
    <row r="30" spans="1:75" ht="16.5" customHeight="1" thickBot="1" x14ac:dyDescent="0.3">
      <c r="A30" s="36" t="s">
        <v>95</v>
      </c>
      <c r="B30" s="36">
        <v>17</v>
      </c>
      <c r="C30" s="58" t="s">
        <v>16</v>
      </c>
      <c r="D30" s="99"/>
      <c r="E30" s="48" t="str">
        <f t="shared" si="1"/>
        <v/>
      </c>
      <c r="F30" s="49" t="str">
        <f t="shared" si="0"/>
        <v>ANS</v>
      </c>
      <c r="H30" s="88">
        <f>+(-H29+H31)/2+H29</f>
        <v>52.5</v>
      </c>
      <c r="I30" s="89">
        <f>+(-I29+I31)/2+I29</f>
        <v>0.875</v>
      </c>
      <c r="J30" s="89">
        <f>+(-J29+J31)/2+J29</f>
        <v>1.2</v>
      </c>
      <c r="K30" s="89">
        <f t="shared" ref="K30:U30" si="20">+(-K29+K31)/2+K29</f>
        <v>0.89000000000000012</v>
      </c>
      <c r="L30" s="89">
        <f t="shared" si="20"/>
        <v>1.04</v>
      </c>
      <c r="M30" s="89">
        <f t="shared" si="20"/>
        <v>1</v>
      </c>
      <c r="N30" s="89">
        <f t="shared" si="20"/>
        <v>0.83499999999999996</v>
      </c>
      <c r="O30" s="89">
        <f t="shared" si="20"/>
        <v>0.42999999999999994</v>
      </c>
      <c r="P30" s="89">
        <f t="shared" si="20"/>
        <v>0.91999999999999993</v>
      </c>
      <c r="Q30" s="89">
        <f t="shared" si="20"/>
        <v>0.55000000000000004</v>
      </c>
      <c r="R30" s="89">
        <f t="shared" si="20"/>
        <v>0.88500000000000001</v>
      </c>
      <c r="S30" s="89">
        <f t="shared" si="20"/>
        <v>42</v>
      </c>
      <c r="T30" s="89">
        <f t="shared" si="20"/>
        <v>1.9850000000000001</v>
      </c>
      <c r="U30" s="90">
        <f t="shared" si="20"/>
        <v>52.5</v>
      </c>
      <c r="W30" s="88">
        <f t="shared" ref="W30:AJ30" si="21">(-W29+W31)/2+W29</f>
        <v>52.5</v>
      </c>
      <c r="X30" s="89">
        <f t="shared" si="21"/>
        <v>0.875</v>
      </c>
      <c r="Y30" s="89">
        <f t="shared" si="21"/>
        <v>1.2</v>
      </c>
      <c r="Z30" s="89">
        <f t="shared" si="21"/>
        <v>0.89000000000000012</v>
      </c>
      <c r="AA30" s="89">
        <f t="shared" si="21"/>
        <v>1.04</v>
      </c>
      <c r="AB30" s="89">
        <f t="shared" si="21"/>
        <v>1</v>
      </c>
      <c r="AC30" s="89">
        <f t="shared" si="21"/>
        <v>0.83499999999999996</v>
      </c>
      <c r="AD30" s="89">
        <f t="shared" si="21"/>
        <v>0.42999999999999994</v>
      </c>
      <c r="AE30" s="89">
        <f t="shared" si="21"/>
        <v>0.91999999999999993</v>
      </c>
      <c r="AF30" s="89">
        <f t="shared" si="21"/>
        <v>0.55000000000000004</v>
      </c>
      <c r="AG30" s="89">
        <f t="shared" si="21"/>
        <v>0.88500000000000001</v>
      </c>
      <c r="AH30" s="89">
        <f t="shared" si="21"/>
        <v>42</v>
      </c>
      <c r="AI30" s="89">
        <f t="shared" si="21"/>
        <v>1.9850000000000001</v>
      </c>
      <c r="AJ30" s="90">
        <f t="shared" si="21"/>
        <v>52.5</v>
      </c>
      <c r="AL30" s="88">
        <f t="shared" ref="AL30:AY30" si="22">(-AL29+AL31)/2+AL29</f>
        <v>52.5</v>
      </c>
      <c r="AM30" s="89">
        <f t="shared" si="22"/>
        <v>0.45499999999999996</v>
      </c>
      <c r="AN30" s="89">
        <f t="shared" si="22"/>
        <v>1.1000000000000001</v>
      </c>
      <c r="AO30" s="89">
        <f t="shared" si="22"/>
        <v>0.83499999999999996</v>
      </c>
      <c r="AP30" s="89">
        <f t="shared" si="22"/>
        <v>0.65500000000000003</v>
      </c>
      <c r="AQ30" s="89">
        <f t="shared" si="22"/>
        <v>0.55000000000000004</v>
      </c>
      <c r="AR30" s="89">
        <f t="shared" si="22"/>
        <v>0.91999999999999993</v>
      </c>
      <c r="AS30" s="89">
        <f t="shared" si="22"/>
        <v>0.215</v>
      </c>
      <c r="AT30" s="89">
        <f t="shared" si="22"/>
        <v>0.83499999999999996</v>
      </c>
      <c r="AU30" s="89">
        <f t="shared" si="22"/>
        <v>0.4</v>
      </c>
      <c r="AV30" s="89">
        <f t="shared" si="22"/>
        <v>0.61499999999999999</v>
      </c>
      <c r="AW30" s="89">
        <f t="shared" si="22"/>
        <v>34.5</v>
      </c>
      <c r="AX30" s="89">
        <f t="shared" si="22"/>
        <v>1.67</v>
      </c>
      <c r="AY30" s="90">
        <f t="shared" si="22"/>
        <v>52.5</v>
      </c>
      <c r="BA30" s="88">
        <f t="shared" ref="BA30:BN30" si="23">(-BA29+BA31)/2+BA29</f>
        <v>52.5</v>
      </c>
      <c r="BB30" s="89">
        <f t="shared" si="23"/>
        <v>0.96499999999999997</v>
      </c>
      <c r="BC30" s="89">
        <f t="shared" si="23"/>
        <v>1.43</v>
      </c>
      <c r="BD30" s="89">
        <f t="shared" si="23"/>
        <v>1.335</v>
      </c>
      <c r="BE30" s="89">
        <f t="shared" si="23"/>
        <v>1.27</v>
      </c>
      <c r="BF30" s="89">
        <f t="shared" si="23"/>
        <v>1.1499999999999999</v>
      </c>
      <c r="BG30" s="89">
        <f t="shared" si="23"/>
        <v>1.08</v>
      </c>
      <c r="BH30" s="89">
        <f t="shared" si="23"/>
        <v>0.42999999999999994</v>
      </c>
      <c r="BI30" s="89">
        <f t="shared" si="23"/>
        <v>1.165</v>
      </c>
      <c r="BJ30" s="89">
        <f t="shared" si="23"/>
        <v>0.75</v>
      </c>
      <c r="BK30" s="89">
        <f t="shared" si="23"/>
        <v>1.0049999999999999</v>
      </c>
      <c r="BL30" s="89">
        <f t="shared" si="23"/>
        <v>47.5</v>
      </c>
      <c r="BM30" s="89">
        <f t="shared" si="23"/>
        <v>1.8900000000000001</v>
      </c>
      <c r="BN30" s="90">
        <f t="shared" si="23"/>
        <v>52.5</v>
      </c>
    </row>
    <row r="31" spans="1:75" ht="16.5" customHeight="1" thickBot="1" x14ac:dyDescent="0.3">
      <c r="A31" s="36" t="s">
        <v>98</v>
      </c>
      <c r="B31" s="36">
        <v>18</v>
      </c>
      <c r="C31" s="53" t="s">
        <v>17</v>
      </c>
      <c r="D31" s="99"/>
      <c r="E31" s="48" t="str">
        <f t="shared" si="1"/>
        <v/>
      </c>
      <c r="F31" s="49" t="str">
        <f t="shared" si="0"/>
        <v>PAR</v>
      </c>
      <c r="H31" s="88">
        <v>55</v>
      </c>
      <c r="I31" s="89">
        <v>1</v>
      </c>
      <c r="J31" s="89">
        <v>1.4</v>
      </c>
      <c r="K31" s="89">
        <v>1.1100000000000001</v>
      </c>
      <c r="L31" s="89">
        <v>1.23</v>
      </c>
      <c r="M31" s="89">
        <v>1.2</v>
      </c>
      <c r="N31" s="89">
        <v>1</v>
      </c>
      <c r="O31" s="89">
        <v>0.56999999999999995</v>
      </c>
      <c r="P31" s="89">
        <v>1.17</v>
      </c>
      <c r="Q31" s="89">
        <v>0.7</v>
      </c>
      <c r="R31" s="89">
        <v>1.04</v>
      </c>
      <c r="S31" s="89">
        <v>47</v>
      </c>
      <c r="T31" s="89">
        <v>2.12</v>
      </c>
      <c r="U31" s="90">
        <v>55</v>
      </c>
      <c r="W31" s="88">
        <v>55</v>
      </c>
      <c r="X31" s="89">
        <v>1</v>
      </c>
      <c r="Y31" s="89">
        <v>1.4</v>
      </c>
      <c r="Z31" s="89">
        <v>1.1100000000000001</v>
      </c>
      <c r="AA31" s="89">
        <v>1.23</v>
      </c>
      <c r="AB31" s="89">
        <v>1.2</v>
      </c>
      <c r="AC31" s="89">
        <v>1</v>
      </c>
      <c r="AD31" s="89">
        <v>0.56999999999999995</v>
      </c>
      <c r="AE31" s="89">
        <v>1.17</v>
      </c>
      <c r="AF31" s="89">
        <v>0.7</v>
      </c>
      <c r="AG31" s="89">
        <v>1.04</v>
      </c>
      <c r="AH31" s="89">
        <v>47</v>
      </c>
      <c r="AI31" s="89">
        <v>2.12</v>
      </c>
      <c r="AJ31" s="90">
        <v>55</v>
      </c>
      <c r="AL31" s="88">
        <v>55</v>
      </c>
      <c r="AM31" s="89">
        <v>0.57999999999999996</v>
      </c>
      <c r="AN31" s="89">
        <v>1.3</v>
      </c>
      <c r="AO31" s="89">
        <v>1</v>
      </c>
      <c r="AP31" s="89">
        <v>0.77</v>
      </c>
      <c r="AQ31" s="89">
        <v>0.7</v>
      </c>
      <c r="AR31" s="89">
        <v>1.17</v>
      </c>
      <c r="AS31" s="89">
        <v>0.28999999999999998</v>
      </c>
      <c r="AT31" s="89">
        <v>1</v>
      </c>
      <c r="AU31" s="89">
        <v>0.5</v>
      </c>
      <c r="AV31" s="89">
        <v>0.71</v>
      </c>
      <c r="AW31" s="89">
        <v>39</v>
      </c>
      <c r="AX31" s="89">
        <v>1.8</v>
      </c>
      <c r="AY31" s="90">
        <v>55</v>
      </c>
      <c r="BA31" s="88">
        <v>55</v>
      </c>
      <c r="BB31" s="89">
        <v>1.18</v>
      </c>
      <c r="BC31" s="89">
        <v>1.66</v>
      </c>
      <c r="BD31" s="89">
        <v>1.56</v>
      </c>
      <c r="BE31" s="89">
        <v>1.54</v>
      </c>
      <c r="BF31" s="89">
        <v>1.4</v>
      </c>
      <c r="BG31" s="89">
        <v>1.33</v>
      </c>
      <c r="BH31" s="89">
        <v>0.56999999999999995</v>
      </c>
      <c r="BI31" s="89">
        <v>1.5</v>
      </c>
      <c r="BJ31" s="89">
        <v>0.9</v>
      </c>
      <c r="BK31" s="89">
        <v>1.17</v>
      </c>
      <c r="BL31" s="89">
        <v>52</v>
      </c>
      <c r="BM31" s="89">
        <v>2.02</v>
      </c>
      <c r="BN31" s="90">
        <v>55</v>
      </c>
    </row>
    <row r="32" spans="1:75" ht="16.5" customHeight="1" thickBot="1" x14ac:dyDescent="0.3">
      <c r="A32" s="36" t="s">
        <v>100</v>
      </c>
      <c r="B32" s="36">
        <v>19</v>
      </c>
      <c r="C32" s="58" t="s">
        <v>18</v>
      </c>
      <c r="D32" s="99"/>
      <c r="E32" s="48" t="str">
        <f t="shared" si="1"/>
        <v/>
      </c>
      <c r="F32" s="49" t="str">
        <f t="shared" si="0"/>
        <v>Item Adicional</v>
      </c>
      <c r="H32" s="88">
        <f>+(-H31+H33)/2+H31</f>
        <v>57.5</v>
      </c>
      <c r="I32" s="89">
        <f>+(-I31+I33)/2+I31</f>
        <v>1.2450000000000001</v>
      </c>
      <c r="J32" s="89">
        <f>+(-J31+J33)/2+J31</f>
        <v>1.6</v>
      </c>
      <c r="K32" s="89">
        <f t="shared" ref="K32:U32" si="24">+(-K31+K33)/2+K31</f>
        <v>1.2749999999999999</v>
      </c>
      <c r="L32" s="89">
        <f t="shared" si="24"/>
        <v>1.5</v>
      </c>
      <c r="M32" s="89">
        <f t="shared" si="24"/>
        <v>1.4</v>
      </c>
      <c r="N32" s="89">
        <f t="shared" si="24"/>
        <v>1.25</v>
      </c>
      <c r="O32" s="89">
        <f t="shared" si="24"/>
        <v>0.71499999999999997</v>
      </c>
      <c r="P32" s="89">
        <f t="shared" si="24"/>
        <v>1.42</v>
      </c>
      <c r="Q32" s="89">
        <f t="shared" si="24"/>
        <v>0.85</v>
      </c>
      <c r="R32" s="89">
        <f t="shared" si="24"/>
        <v>1.2000000000000002</v>
      </c>
      <c r="S32" s="89">
        <f t="shared" si="24"/>
        <v>52</v>
      </c>
      <c r="T32" s="89">
        <f t="shared" si="24"/>
        <v>2.2650000000000001</v>
      </c>
      <c r="U32" s="90">
        <f t="shared" si="24"/>
        <v>57.5</v>
      </c>
      <c r="W32" s="88">
        <f t="shared" ref="W32:AJ32" si="25">(-W31+W33)/2+W31</f>
        <v>57.5</v>
      </c>
      <c r="X32" s="89">
        <f t="shared" si="25"/>
        <v>1.2450000000000001</v>
      </c>
      <c r="Y32" s="89">
        <f t="shared" si="25"/>
        <v>1.6</v>
      </c>
      <c r="Z32" s="89">
        <f t="shared" si="25"/>
        <v>1.2749999999999999</v>
      </c>
      <c r="AA32" s="89">
        <f t="shared" si="25"/>
        <v>1.5</v>
      </c>
      <c r="AB32" s="89">
        <f t="shared" si="25"/>
        <v>1.4</v>
      </c>
      <c r="AC32" s="89">
        <f t="shared" si="25"/>
        <v>1.25</v>
      </c>
      <c r="AD32" s="89">
        <f t="shared" si="25"/>
        <v>0.71499999999999997</v>
      </c>
      <c r="AE32" s="89">
        <f t="shared" si="25"/>
        <v>1.42</v>
      </c>
      <c r="AF32" s="89">
        <f t="shared" si="25"/>
        <v>0.85</v>
      </c>
      <c r="AG32" s="89">
        <f t="shared" si="25"/>
        <v>1.2000000000000002</v>
      </c>
      <c r="AH32" s="89">
        <f t="shared" si="25"/>
        <v>52</v>
      </c>
      <c r="AI32" s="89">
        <f t="shared" si="25"/>
        <v>2.2650000000000001</v>
      </c>
      <c r="AJ32" s="90">
        <f t="shared" si="25"/>
        <v>57.5</v>
      </c>
      <c r="AL32" s="88">
        <f t="shared" ref="AL32:AY32" si="26">(-AL31+AL33)/2+AL31</f>
        <v>57.5</v>
      </c>
      <c r="AM32" s="89">
        <f t="shared" si="26"/>
        <v>0.75</v>
      </c>
      <c r="AN32" s="89">
        <f t="shared" si="26"/>
        <v>1.55</v>
      </c>
      <c r="AO32" s="89">
        <f t="shared" si="26"/>
        <v>1.165</v>
      </c>
      <c r="AP32" s="89">
        <f t="shared" si="26"/>
        <v>1</v>
      </c>
      <c r="AQ32" s="89">
        <f t="shared" si="26"/>
        <v>0.85</v>
      </c>
      <c r="AR32" s="89">
        <f t="shared" si="26"/>
        <v>1.42</v>
      </c>
      <c r="AS32" s="89">
        <f t="shared" si="26"/>
        <v>0.42999999999999994</v>
      </c>
      <c r="AT32" s="89">
        <f t="shared" si="26"/>
        <v>1.25</v>
      </c>
      <c r="AU32" s="89">
        <f t="shared" si="26"/>
        <v>0.65</v>
      </c>
      <c r="AV32" s="89">
        <f t="shared" si="26"/>
        <v>0.84</v>
      </c>
      <c r="AW32" s="89">
        <f t="shared" si="26"/>
        <v>43</v>
      </c>
      <c r="AX32" s="89">
        <f t="shared" si="26"/>
        <v>1.9700000000000002</v>
      </c>
      <c r="AY32" s="90">
        <f t="shared" si="26"/>
        <v>57.5</v>
      </c>
      <c r="BA32" s="88">
        <f t="shared" ref="BA32:BN32" si="27">(-BA31+BA33)/2+BA31</f>
        <v>57.5</v>
      </c>
      <c r="BB32" s="89">
        <f t="shared" si="27"/>
        <v>1.38</v>
      </c>
      <c r="BC32" s="89">
        <f t="shared" si="27"/>
        <v>1.88</v>
      </c>
      <c r="BD32" s="89">
        <f t="shared" si="27"/>
        <v>1.78</v>
      </c>
      <c r="BE32" s="89">
        <f t="shared" si="27"/>
        <v>1.73</v>
      </c>
      <c r="BF32" s="89">
        <f t="shared" si="27"/>
        <v>1.65</v>
      </c>
      <c r="BG32" s="89">
        <f t="shared" si="27"/>
        <v>1.665</v>
      </c>
      <c r="BH32" s="89">
        <f t="shared" si="27"/>
        <v>0.78499999999999992</v>
      </c>
      <c r="BI32" s="89">
        <f t="shared" si="27"/>
        <v>1.7749999999999999</v>
      </c>
      <c r="BJ32" s="89">
        <f t="shared" si="27"/>
        <v>1.1499999999999999</v>
      </c>
      <c r="BK32" s="89">
        <f t="shared" si="27"/>
        <v>1.35</v>
      </c>
      <c r="BL32" s="89">
        <f t="shared" si="27"/>
        <v>57.5</v>
      </c>
      <c r="BM32" s="89">
        <f t="shared" si="27"/>
        <v>2.21</v>
      </c>
      <c r="BN32" s="90">
        <f t="shared" si="27"/>
        <v>57.5</v>
      </c>
    </row>
    <row r="33" spans="1:66" ht="16.5" customHeight="1" thickBot="1" x14ac:dyDescent="0.3">
      <c r="A33" s="36" t="s">
        <v>94</v>
      </c>
      <c r="B33" s="36">
        <v>20</v>
      </c>
      <c r="C33" s="53" t="s">
        <v>19</v>
      </c>
      <c r="D33" s="99"/>
      <c r="E33" s="48" t="str">
        <f t="shared" si="1"/>
        <v/>
      </c>
      <c r="F33" s="49" t="str">
        <f t="shared" si="0"/>
        <v>DEP</v>
      </c>
      <c r="H33" s="88">
        <v>60</v>
      </c>
      <c r="I33" s="89">
        <v>1.49</v>
      </c>
      <c r="J33" s="89">
        <v>1.8</v>
      </c>
      <c r="K33" s="89">
        <v>1.44</v>
      </c>
      <c r="L33" s="89">
        <v>1.77</v>
      </c>
      <c r="M33" s="89">
        <v>1.6</v>
      </c>
      <c r="N33" s="89">
        <v>1.5</v>
      </c>
      <c r="O33" s="89">
        <v>0.86</v>
      </c>
      <c r="P33" s="89">
        <v>1.67</v>
      </c>
      <c r="Q33" s="89">
        <v>1</v>
      </c>
      <c r="R33" s="89">
        <v>1.36</v>
      </c>
      <c r="S33" s="89">
        <v>57</v>
      </c>
      <c r="T33" s="89">
        <v>2.41</v>
      </c>
      <c r="U33" s="90">
        <v>60</v>
      </c>
      <c r="W33" s="88">
        <v>60</v>
      </c>
      <c r="X33" s="89">
        <v>1.49</v>
      </c>
      <c r="Y33" s="89">
        <v>1.8</v>
      </c>
      <c r="Z33" s="89">
        <v>1.44</v>
      </c>
      <c r="AA33" s="89">
        <v>1.77</v>
      </c>
      <c r="AB33" s="89">
        <v>1.6</v>
      </c>
      <c r="AC33" s="89">
        <v>1.5</v>
      </c>
      <c r="AD33" s="89">
        <v>0.86</v>
      </c>
      <c r="AE33" s="89">
        <v>1.67</v>
      </c>
      <c r="AF33" s="89">
        <v>1</v>
      </c>
      <c r="AG33" s="89">
        <v>1.36</v>
      </c>
      <c r="AH33" s="89">
        <v>57</v>
      </c>
      <c r="AI33" s="89">
        <v>2.41</v>
      </c>
      <c r="AJ33" s="90">
        <v>60</v>
      </c>
      <c r="AL33" s="88">
        <v>60</v>
      </c>
      <c r="AM33" s="89">
        <v>0.92</v>
      </c>
      <c r="AN33" s="89">
        <v>1.8</v>
      </c>
      <c r="AO33" s="89">
        <v>1.33</v>
      </c>
      <c r="AP33" s="89">
        <v>1.23</v>
      </c>
      <c r="AQ33" s="89">
        <v>1</v>
      </c>
      <c r="AR33" s="89">
        <v>1.67</v>
      </c>
      <c r="AS33" s="89">
        <v>0.56999999999999995</v>
      </c>
      <c r="AT33" s="89">
        <v>1.5</v>
      </c>
      <c r="AU33" s="89">
        <v>0.8</v>
      </c>
      <c r="AV33" s="89">
        <v>0.97</v>
      </c>
      <c r="AW33" s="89">
        <v>47</v>
      </c>
      <c r="AX33" s="89">
        <v>2.14</v>
      </c>
      <c r="AY33" s="90">
        <v>60</v>
      </c>
      <c r="BA33" s="88">
        <v>60</v>
      </c>
      <c r="BB33" s="89">
        <v>1.58</v>
      </c>
      <c r="BC33" s="89">
        <v>2.1</v>
      </c>
      <c r="BD33" s="89">
        <v>2</v>
      </c>
      <c r="BE33" s="89">
        <v>1.92</v>
      </c>
      <c r="BF33" s="89">
        <v>1.9</v>
      </c>
      <c r="BG33" s="89">
        <v>2</v>
      </c>
      <c r="BH33" s="89">
        <v>1</v>
      </c>
      <c r="BI33" s="89">
        <v>2.0499999999999998</v>
      </c>
      <c r="BJ33" s="89">
        <v>1.4</v>
      </c>
      <c r="BK33" s="89">
        <v>1.53</v>
      </c>
      <c r="BL33" s="89">
        <v>63</v>
      </c>
      <c r="BM33" s="89">
        <v>2.4</v>
      </c>
      <c r="BN33" s="90">
        <v>60</v>
      </c>
    </row>
    <row r="34" spans="1:66" ht="16.5" customHeight="1" thickBot="1" x14ac:dyDescent="0.3">
      <c r="A34" s="36" t="s">
        <v>93</v>
      </c>
      <c r="B34" s="36">
        <v>21</v>
      </c>
      <c r="C34" s="58" t="s">
        <v>20</v>
      </c>
      <c r="D34" s="99"/>
      <c r="E34" s="48" t="str">
        <f t="shared" si="1"/>
        <v/>
      </c>
      <c r="F34" s="49" t="str">
        <f t="shared" si="0"/>
        <v>S.I</v>
      </c>
      <c r="H34" s="88">
        <f>+(-H33+H35)/2+H33</f>
        <v>61.5</v>
      </c>
      <c r="I34" s="89">
        <f>+(-I33+I35)/2+I33</f>
        <v>1.6600000000000001</v>
      </c>
      <c r="J34" s="89">
        <f>+(-J33+J35)/2+J33</f>
        <v>1.9500000000000002</v>
      </c>
      <c r="K34" s="89">
        <f t="shared" ref="K34:U34" si="28">+(-K33+K35)/2+K33</f>
        <v>1.5549999999999999</v>
      </c>
      <c r="L34" s="89">
        <f t="shared" si="28"/>
        <v>1.885</v>
      </c>
      <c r="M34" s="89">
        <f t="shared" si="28"/>
        <v>1.7000000000000002</v>
      </c>
      <c r="N34" s="89">
        <f t="shared" si="28"/>
        <v>1.585</v>
      </c>
      <c r="O34" s="89">
        <f t="shared" si="28"/>
        <v>1</v>
      </c>
      <c r="P34" s="89">
        <f t="shared" si="28"/>
        <v>1.835</v>
      </c>
      <c r="Q34" s="89">
        <f t="shared" si="28"/>
        <v>1.05</v>
      </c>
      <c r="R34" s="89">
        <f t="shared" si="28"/>
        <v>1.4900000000000002</v>
      </c>
      <c r="S34" s="89">
        <f t="shared" si="28"/>
        <v>59.5</v>
      </c>
      <c r="T34" s="89">
        <f t="shared" si="28"/>
        <v>2.4699999999999998</v>
      </c>
      <c r="U34" s="90">
        <f t="shared" si="28"/>
        <v>61.5</v>
      </c>
      <c r="W34" s="88">
        <f t="shared" ref="W34:AJ34" si="29">(-W33+W35)/2+W33</f>
        <v>61.5</v>
      </c>
      <c r="X34" s="89">
        <f t="shared" si="29"/>
        <v>1.6600000000000001</v>
      </c>
      <c r="Y34" s="89">
        <f t="shared" si="29"/>
        <v>1.9500000000000002</v>
      </c>
      <c r="Z34" s="89">
        <f t="shared" si="29"/>
        <v>1.5549999999999999</v>
      </c>
      <c r="AA34" s="89">
        <f t="shared" si="29"/>
        <v>1.885</v>
      </c>
      <c r="AB34" s="89">
        <f t="shared" si="29"/>
        <v>1.7000000000000002</v>
      </c>
      <c r="AC34" s="89">
        <f t="shared" si="29"/>
        <v>1.585</v>
      </c>
      <c r="AD34" s="89">
        <f t="shared" si="29"/>
        <v>1</v>
      </c>
      <c r="AE34" s="89">
        <f t="shared" si="29"/>
        <v>1.835</v>
      </c>
      <c r="AF34" s="89">
        <f t="shared" si="29"/>
        <v>1.05</v>
      </c>
      <c r="AG34" s="89">
        <f t="shared" si="29"/>
        <v>1.4900000000000002</v>
      </c>
      <c r="AH34" s="89">
        <f t="shared" si="29"/>
        <v>59.5</v>
      </c>
      <c r="AI34" s="89">
        <f t="shared" si="29"/>
        <v>2.4699999999999998</v>
      </c>
      <c r="AJ34" s="90">
        <f t="shared" si="29"/>
        <v>61.5</v>
      </c>
      <c r="AL34" s="88">
        <f t="shared" ref="AL34:AY34" si="30">(-AL33+AL35)/2+AL33</f>
        <v>61.5</v>
      </c>
      <c r="AM34" s="89">
        <f t="shared" si="30"/>
        <v>1</v>
      </c>
      <c r="AN34" s="89">
        <f t="shared" si="30"/>
        <v>1.9049999999999998</v>
      </c>
      <c r="AO34" s="89">
        <f t="shared" si="30"/>
        <v>1.4450000000000001</v>
      </c>
      <c r="AP34" s="89">
        <f t="shared" si="30"/>
        <v>1.345</v>
      </c>
      <c r="AQ34" s="89">
        <f t="shared" si="30"/>
        <v>1.155</v>
      </c>
      <c r="AR34" s="89">
        <f t="shared" si="30"/>
        <v>1.845</v>
      </c>
      <c r="AS34" s="89">
        <f t="shared" si="30"/>
        <v>0.6399999999999999</v>
      </c>
      <c r="AT34" s="89">
        <f t="shared" si="30"/>
        <v>1.665</v>
      </c>
      <c r="AU34" s="89">
        <f t="shared" si="30"/>
        <v>0.90500000000000003</v>
      </c>
      <c r="AV34" s="89">
        <f t="shared" si="30"/>
        <v>1.0350000000000001</v>
      </c>
      <c r="AW34" s="89">
        <f t="shared" si="30"/>
        <v>49.55</v>
      </c>
      <c r="AX34" s="89">
        <f t="shared" si="30"/>
        <v>2.2149999999999999</v>
      </c>
      <c r="AY34" s="90">
        <f t="shared" si="30"/>
        <v>61.5</v>
      </c>
      <c r="BA34" s="88">
        <f t="shared" ref="BA34:BN34" si="31">(-BA33+BA35)/2+BA33</f>
        <v>61.5</v>
      </c>
      <c r="BB34" s="89">
        <f t="shared" si="31"/>
        <v>1.7349999999999999</v>
      </c>
      <c r="BC34" s="89">
        <f t="shared" si="31"/>
        <v>2.25</v>
      </c>
      <c r="BD34" s="89">
        <f t="shared" si="31"/>
        <v>2.165</v>
      </c>
      <c r="BE34" s="89">
        <f t="shared" si="31"/>
        <v>2.1150000000000002</v>
      </c>
      <c r="BF34" s="89">
        <f t="shared" si="31"/>
        <v>2.0499999999999998</v>
      </c>
      <c r="BG34" s="89">
        <f t="shared" si="31"/>
        <v>2.25</v>
      </c>
      <c r="BH34" s="89">
        <f t="shared" si="31"/>
        <v>1.145</v>
      </c>
      <c r="BI34" s="89">
        <f t="shared" si="31"/>
        <v>2.2749999999999999</v>
      </c>
      <c r="BJ34" s="89">
        <f t="shared" si="31"/>
        <v>1.5</v>
      </c>
      <c r="BK34" s="89">
        <f t="shared" si="31"/>
        <v>1.62</v>
      </c>
      <c r="BL34" s="89">
        <f t="shared" si="31"/>
        <v>66.349999999999994</v>
      </c>
      <c r="BM34" s="89">
        <f t="shared" si="31"/>
        <v>2.4699999999999998</v>
      </c>
      <c r="BN34" s="90">
        <f t="shared" si="31"/>
        <v>61.5</v>
      </c>
    </row>
    <row r="35" spans="1:66" ht="16.5" customHeight="1" thickBot="1" x14ac:dyDescent="0.3">
      <c r="A35" s="36" t="s">
        <v>94</v>
      </c>
      <c r="B35" s="36">
        <v>22</v>
      </c>
      <c r="C35" s="53" t="s">
        <v>21</v>
      </c>
      <c r="D35" s="99"/>
      <c r="E35" s="48" t="str">
        <f t="shared" si="1"/>
        <v/>
      </c>
      <c r="F35" s="49" t="str">
        <f t="shared" si="0"/>
        <v>DEP</v>
      </c>
      <c r="H35" s="88">
        <v>63</v>
      </c>
      <c r="I35" s="89">
        <v>1.83</v>
      </c>
      <c r="J35" s="89">
        <v>2.1</v>
      </c>
      <c r="K35" s="89">
        <v>1.67</v>
      </c>
      <c r="L35" s="89">
        <v>2</v>
      </c>
      <c r="M35" s="89">
        <v>1.8</v>
      </c>
      <c r="N35" s="89">
        <v>1.67</v>
      </c>
      <c r="O35" s="89">
        <v>1.1399999999999999</v>
      </c>
      <c r="P35" s="89">
        <v>2</v>
      </c>
      <c r="Q35" s="89">
        <v>1.1000000000000001</v>
      </c>
      <c r="R35" s="89">
        <v>1.62</v>
      </c>
      <c r="S35" s="89">
        <v>62</v>
      </c>
      <c r="T35" s="89">
        <v>2.5299999999999998</v>
      </c>
      <c r="U35" s="90">
        <v>63</v>
      </c>
      <c r="W35" s="88">
        <v>63</v>
      </c>
      <c r="X35" s="89">
        <v>1.83</v>
      </c>
      <c r="Y35" s="89">
        <v>2.1</v>
      </c>
      <c r="Z35" s="89">
        <v>1.67</v>
      </c>
      <c r="AA35" s="89">
        <v>2</v>
      </c>
      <c r="AB35" s="89">
        <v>1.8</v>
      </c>
      <c r="AC35" s="89">
        <v>1.67</v>
      </c>
      <c r="AD35" s="89">
        <v>1.1399999999999999</v>
      </c>
      <c r="AE35" s="89">
        <v>2</v>
      </c>
      <c r="AF35" s="89">
        <v>1.1000000000000001</v>
      </c>
      <c r="AG35" s="89">
        <v>1.62</v>
      </c>
      <c r="AH35" s="89">
        <v>62</v>
      </c>
      <c r="AI35" s="89">
        <v>2.5299999999999998</v>
      </c>
      <c r="AJ35" s="90">
        <v>63</v>
      </c>
      <c r="AL35" s="88">
        <v>63</v>
      </c>
      <c r="AM35" s="89">
        <v>1.08</v>
      </c>
      <c r="AN35" s="89">
        <v>2.0099999999999998</v>
      </c>
      <c r="AO35" s="89">
        <v>1.56</v>
      </c>
      <c r="AP35" s="89">
        <v>1.46</v>
      </c>
      <c r="AQ35" s="89">
        <v>1.31</v>
      </c>
      <c r="AR35" s="89">
        <v>2.02</v>
      </c>
      <c r="AS35" s="89">
        <v>0.71</v>
      </c>
      <c r="AT35" s="89">
        <v>1.83</v>
      </c>
      <c r="AU35" s="89">
        <v>1.01</v>
      </c>
      <c r="AV35" s="89">
        <v>1.1000000000000001</v>
      </c>
      <c r="AW35" s="68">
        <v>52.1</v>
      </c>
      <c r="AX35" s="89">
        <v>2.29</v>
      </c>
      <c r="AY35" s="90">
        <v>63</v>
      </c>
      <c r="BA35" s="88">
        <v>63</v>
      </c>
      <c r="BB35" s="89">
        <v>1.89</v>
      </c>
      <c r="BC35" s="89">
        <v>2.4</v>
      </c>
      <c r="BD35" s="89">
        <v>2.33</v>
      </c>
      <c r="BE35" s="89">
        <v>2.31</v>
      </c>
      <c r="BF35" s="89">
        <v>2.2000000000000002</v>
      </c>
      <c r="BG35" s="89">
        <v>2.5</v>
      </c>
      <c r="BH35" s="89">
        <v>1.29</v>
      </c>
      <c r="BI35" s="89">
        <v>2.5</v>
      </c>
      <c r="BJ35" s="89">
        <v>1.6</v>
      </c>
      <c r="BK35" s="89">
        <v>1.71</v>
      </c>
      <c r="BL35" s="89">
        <v>69.7</v>
      </c>
      <c r="BM35" s="89">
        <v>2.54</v>
      </c>
      <c r="BN35" s="90">
        <v>63</v>
      </c>
    </row>
    <row r="36" spans="1:66" ht="16.5" customHeight="1" thickBot="1" x14ac:dyDescent="0.3">
      <c r="A36" s="36" t="s">
        <v>95</v>
      </c>
      <c r="B36" s="36">
        <v>23</v>
      </c>
      <c r="C36" s="58" t="s">
        <v>22</v>
      </c>
      <c r="D36" s="99"/>
      <c r="E36" s="48" t="str">
        <f t="shared" si="1"/>
        <v/>
      </c>
      <c r="F36" s="49" t="str">
        <f t="shared" si="0"/>
        <v>ANS</v>
      </c>
      <c r="H36" s="88">
        <f>+(-H35+H37)/2+H35</f>
        <v>64</v>
      </c>
      <c r="I36" s="89">
        <f>+(-I35+I37)/2+I35</f>
        <v>1.915</v>
      </c>
      <c r="J36" s="89">
        <f>+(-J35+J37)/2+J35</f>
        <v>2.1500000000000004</v>
      </c>
      <c r="K36" s="89">
        <f t="shared" ref="K36:U36" si="32">+(-K35+K37)/2+K35</f>
        <v>1.7799999999999998</v>
      </c>
      <c r="L36" s="89">
        <f t="shared" si="32"/>
        <v>2.1150000000000002</v>
      </c>
      <c r="M36" s="89">
        <f t="shared" si="32"/>
        <v>1.9649999999999999</v>
      </c>
      <c r="N36" s="89">
        <f t="shared" si="32"/>
        <v>1.75</v>
      </c>
      <c r="O36" s="89">
        <f t="shared" si="32"/>
        <v>1.2149999999999999</v>
      </c>
      <c r="P36" s="89">
        <f t="shared" si="32"/>
        <v>2.085</v>
      </c>
      <c r="Q36" s="89">
        <f t="shared" si="32"/>
        <v>1.2000000000000002</v>
      </c>
      <c r="R36" s="89">
        <f t="shared" si="32"/>
        <v>1.6800000000000002</v>
      </c>
      <c r="S36" s="89">
        <f t="shared" si="32"/>
        <v>64</v>
      </c>
      <c r="T36" s="89">
        <f t="shared" si="32"/>
        <v>2.5999999999999996</v>
      </c>
      <c r="U36" s="90">
        <f t="shared" si="32"/>
        <v>64</v>
      </c>
      <c r="W36" s="88">
        <f t="shared" ref="W36:AJ36" si="33">(-W35+W37)/2+W35</f>
        <v>64</v>
      </c>
      <c r="X36" s="89">
        <f t="shared" si="33"/>
        <v>1.915</v>
      </c>
      <c r="Y36" s="89">
        <f t="shared" si="33"/>
        <v>2.1500000000000004</v>
      </c>
      <c r="Z36" s="89">
        <f t="shared" si="33"/>
        <v>1.7799999999999998</v>
      </c>
      <c r="AA36" s="89">
        <f t="shared" si="33"/>
        <v>2.1150000000000002</v>
      </c>
      <c r="AB36" s="89">
        <f t="shared" si="33"/>
        <v>1.9649999999999999</v>
      </c>
      <c r="AC36" s="89">
        <f t="shared" si="33"/>
        <v>1.75</v>
      </c>
      <c r="AD36" s="89">
        <f t="shared" si="33"/>
        <v>1.2149999999999999</v>
      </c>
      <c r="AE36" s="89">
        <f t="shared" si="33"/>
        <v>2.085</v>
      </c>
      <c r="AF36" s="89">
        <f t="shared" si="33"/>
        <v>1.2000000000000002</v>
      </c>
      <c r="AG36" s="89">
        <f t="shared" si="33"/>
        <v>1.6800000000000002</v>
      </c>
      <c r="AH36" s="89">
        <f t="shared" si="33"/>
        <v>64</v>
      </c>
      <c r="AI36" s="89">
        <f t="shared" si="33"/>
        <v>2.5999999999999996</v>
      </c>
      <c r="AJ36" s="90">
        <f t="shared" si="33"/>
        <v>64</v>
      </c>
      <c r="AL36" s="88">
        <f t="shared" ref="AL36:AY36" si="34">(-AL35+AL37)/2+AL35</f>
        <v>64</v>
      </c>
      <c r="AM36" s="89">
        <f t="shared" si="34"/>
        <v>1.1950000000000001</v>
      </c>
      <c r="AN36" s="89">
        <f t="shared" si="34"/>
        <v>2.105</v>
      </c>
      <c r="AO36" s="89">
        <f t="shared" si="34"/>
        <v>1.615</v>
      </c>
      <c r="AP36" s="89">
        <f t="shared" si="34"/>
        <v>1.54</v>
      </c>
      <c r="AQ36" s="89">
        <f t="shared" si="34"/>
        <v>1.37</v>
      </c>
      <c r="AR36" s="89">
        <f t="shared" si="34"/>
        <v>2.1749999999999998</v>
      </c>
      <c r="AS36" s="89">
        <f t="shared" si="34"/>
        <v>0.78499999999999992</v>
      </c>
      <c r="AT36" s="89">
        <f t="shared" si="34"/>
        <v>1.915</v>
      </c>
      <c r="AU36" s="89">
        <f t="shared" si="34"/>
        <v>1.145</v>
      </c>
      <c r="AV36" s="89">
        <f t="shared" si="34"/>
        <v>1.1850000000000001</v>
      </c>
      <c r="AW36" s="89">
        <f t="shared" si="34"/>
        <v>54.05</v>
      </c>
      <c r="AX36" s="89">
        <f t="shared" si="34"/>
        <v>2.38</v>
      </c>
      <c r="AY36" s="90">
        <f t="shared" si="34"/>
        <v>64</v>
      </c>
      <c r="BA36" s="88">
        <f t="shared" ref="BA36:BN36" si="35">(-BA35+BA37)/2+BA35</f>
        <v>64</v>
      </c>
      <c r="BB36" s="89">
        <f t="shared" si="35"/>
        <v>1.9849999999999999</v>
      </c>
      <c r="BC36" s="89">
        <f t="shared" si="35"/>
        <v>2.5</v>
      </c>
      <c r="BD36" s="89">
        <f t="shared" si="35"/>
        <v>2.3849999999999998</v>
      </c>
      <c r="BE36" s="89">
        <f t="shared" si="35"/>
        <v>2.3849999999999998</v>
      </c>
      <c r="BF36" s="89">
        <f t="shared" si="35"/>
        <v>2.2999999999999998</v>
      </c>
      <c r="BG36" s="89">
        <f t="shared" si="35"/>
        <v>2.6550000000000002</v>
      </c>
      <c r="BH36" s="89">
        <f t="shared" si="35"/>
        <v>1.4300000000000002</v>
      </c>
      <c r="BI36" s="89">
        <f t="shared" si="35"/>
        <v>2.585</v>
      </c>
      <c r="BJ36" s="89">
        <f t="shared" si="35"/>
        <v>1.7000000000000002</v>
      </c>
      <c r="BK36" s="89">
        <f t="shared" si="35"/>
        <v>1.7850000000000001</v>
      </c>
      <c r="BL36" s="89">
        <f t="shared" si="35"/>
        <v>71.045000000000002</v>
      </c>
      <c r="BM36" s="89">
        <f t="shared" si="35"/>
        <v>2.6</v>
      </c>
      <c r="BN36" s="90">
        <f t="shared" si="35"/>
        <v>64</v>
      </c>
    </row>
    <row r="37" spans="1:66" ht="16.5" customHeight="1" thickBot="1" x14ac:dyDescent="0.3">
      <c r="A37" s="36" t="s">
        <v>96</v>
      </c>
      <c r="B37" s="36">
        <v>24</v>
      </c>
      <c r="C37" s="53" t="s">
        <v>23</v>
      </c>
      <c r="D37" s="99"/>
      <c r="E37" s="48" t="str">
        <f t="shared" si="1"/>
        <v/>
      </c>
      <c r="F37" s="49" t="str">
        <f t="shared" si="0"/>
        <v>HOS</v>
      </c>
      <c r="H37" s="88">
        <v>65</v>
      </c>
      <c r="I37" s="89">
        <v>2</v>
      </c>
      <c r="J37" s="89">
        <v>2.2000000000000002</v>
      </c>
      <c r="K37" s="89">
        <v>1.89</v>
      </c>
      <c r="L37" s="89">
        <v>2.23</v>
      </c>
      <c r="M37" s="89">
        <v>2.13</v>
      </c>
      <c r="N37" s="89">
        <v>1.83</v>
      </c>
      <c r="O37" s="89">
        <v>1.29</v>
      </c>
      <c r="P37" s="89">
        <v>2.17</v>
      </c>
      <c r="Q37" s="89">
        <v>1.3</v>
      </c>
      <c r="R37" s="89">
        <v>1.74</v>
      </c>
      <c r="S37" s="89">
        <v>66</v>
      </c>
      <c r="T37" s="89">
        <v>2.67</v>
      </c>
      <c r="U37" s="90">
        <v>65</v>
      </c>
      <c r="W37" s="88">
        <v>65</v>
      </c>
      <c r="X37" s="89">
        <v>2</v>
      </c>
      <c r="Y37" s="89">
        <v>2.2000000000000002</v>
      </c>
      <c r="Z37" s="89">
        <v>1.89</v>
      </c>
      <c r="AA37" s="89">
        <v>2.23</v>
      </c>
      <c r="AB37" s="89">
        <v>2.13</v>
      </c>
      <c r="AC37" s="89">
        <v>1.83</v>
      </c>
      <c r="AD37" s="89">
        <v>1.29</v>
      </c>
      <c r="AE37" s="89">
        <v>2.17</v>
      </c>
      <c r="AF37" s="89">
        <v>1.3</v>
      </c>
      <c r="AG37" s="89">
        <v>1.74</v>
      </c>
      <c r="AH37" s="89">
        <v>66</v>
      </c>
      <c r="AI37" s="89">
        <v>2.67</v>
      </c>
      <c r="AJ37" s="90">
        <v>65</v>
      </c>
      <c r="AL37" s="88">
        <v>65</v>
      </c>
      <c r="AM37" s="89">
        <v>1.31</v>
      </c>
      <c r="AN37" s="89">
        <v>2.2000000000000002</v>
      </c>
      <c r="AO37" s="89">
        <v>1.67</v>
      </c>
      <c r="AP37" s="89">
        <v>1.62</v>
      </c>
      <c r="AQ37" s="89">
        <v>1.43</v>
      </c>
      <c r="AR37" s="89">
        <v>2.33</v>
      </c>
      <c r="AS37" s="89">
        <v>0.86</v>
      </c>
      <c r="AT37" s="89">
        <v>2</v>
      </c>
      <c r="AU37" s="89">
        <v>1.28</v>
      </c>
      <c r="AV37" s="89">
        <v>1.27</v>
      </c>
      <c r="AW37" s="89">
        <v>56</v>
      </c>
      <c r="AX37" s="89">
        <v>2.4700000000000002</v>
      </c>
      <c r="AY37" s="90">
        <v>65</v>
      </c>
      <c r="BA37" s="88">
        <v>65</v>
      </c>
      <c r="BB37" s="89">
        <v>2.08</v>
      </c>
      <c r="BC37" s="89">
        <v>2.6</v>
      </c>
      <c r="BD37" s="89">
        <v>2.44</v>
      </c>
      <c r="BE37" s="89">
        <v>2.46</v>
      </c>
      <c r="BF37" s="89">
        <v>2.4</v>
      </c>
      <c r="BG37" s="89">
        <v>2.81</v>
      </c>
      <c r="BH37" s="89">
        <v>1.57</v>
      </c>
      <c r="BI37" s="89">
        <v>2.67</v>
      </c>
      <c r="BJ37" s="89">
        <v>1.8</v>
      </c>
      <c r="BK37" s="89">
        <v>1.86</v>
      </c>
      <c r="BL37" s="89">
        <v>72.39</v>
      </c>
      <c r="BM37" s="89">
        <v>2.66</v>
      </c>
      <c r="BN37" s="90">
        <v>65</v>
      </c>
    </row>
    <row r="38" spans="1:66" ht="16.5" customHeight="1" thickBot="1" x14ac:dyDescent="0.3">
      <c r="A38" s="36" t="s">
        <v>97</v>
      </c>
      <c r="B38" s="36">
        <v>25</v>
      </c>
      <c r="C38" s="58" t="s">
        <v>24</v>
      </c>
      <c r="D38" s="99"/>
      <c r="E38" s="48" t="str">
        <f t="shared" si="1"/>
        <v/>
      </c>
      <c r="F38" s="49" t="str">
        <f t="shared" si="0"/>
        <v>FOB</v>
      </c>
      <c r="H38" s="88">
        <f>+(-H37+H39)/2+H37</f>
        <v>67.5</v>
      </c>
      <c r="I38" s="89">
        <f>+(-I37+I39)/2+I37</f>
        <v>2.1799999999999997</v>
      </c>
      <c r="J38" s="89">
        <f>+(-J37+J39)/2+J37</f>
        <v>2.5499999999999998</v>
      </c>
      <c r="K38" s="89">
        <f t="shared" ref="K38:U38" si="36">+(-K37+K39)/2+K37</f>
        <v>2.2450000000000001</v>
      </c>
      <c r="L38" s="89">
        <f t="shared" si="36"/>
        <v>2.5149999999999997</v>
      </c>
      <c r="M38" s="89">
        <f t="shared" si="36"/>
        <v>2.3149999999999999</v>
      </c>
      <c r="N38" s="89">
        <f t="shared" si="36"/>
        <v>2.1950000000000003</v>
      </c>
      <c r="O38" s="89">
        <f t="shared" si="36"/>
        <v>1.645</v>
      </c>
      <c r="P38" s="89">
        <f t="shared" si="36"/>
        <v>2.585</v>
      </c>
      <c r="Q38" s="89">
        <f t="shared" si="36"/>
        <v>1.635</v>
      </c>
      <c r="R38" s="89">
        <f t="shared" si="36"/>
        <v>1.96</v>
      </c>
      <c r="S38" s="89">
        <f t="shared" si="36"/>
        <v>70</v>
      </c>
      <c r="T38" s="89">
        <f t="shared" si="36"/>
        <v>2.83</v>
      </c>
      <c r="U38" s="90">
        <f t="shared" si="36"/>
        <v>67.5</v>
      </c>
      <c r="W38" s="88">
        <f t="shared" ref="W38:AJ38" si="37">(-W37+W39)/2+W37</f>
        <v>67.5</v>
      </c>
      <c r="X38" s="89">
        <f t="shared" si="37"/>
        <v>2.1799999999999997</v>
      </c>
      <c r="Y38" s="89">
        <f t="shared" si="37"/>
        <v>2.5499999999999998</v>
      </c>
      <c r="Z38" s="89">
        <f t="shared" si="37"/>
        <v>2.2450000000000001</v>
      </c>
      <c r="AA38" s="89">
        <f t="shared" si="37"/>
        <v>2.5149999999999997</v>
      </c>
      <c r="AB38" s="89">
        <f t="shared" si="37"/>
        <v>2.3149999999999999</v>
      </c>
      <c r="AC38" s="89">
        <f t="shared" si="37"/>
        <v>2.1950000000000003</v>
      </c>
      <c r="AD38" s="89">
        <f t="shared" si="37"/>
        <v>1.645</v>
      </c>
      <c r="AE38" s="89">
        <f t="shared" si="37"/>
        <v>2.585</v>
      </c>
      <c r="AF38" s="89">
        <f t="shared" si="37"/>
        <v>1.635</v>
      </c>
      <c r="AG38" s="89">
        <f t="shared" si="37"/>
        <v>1.96</v>
      </c>
      <c r="AH38" s="89">
        <f t="shared" si="37"/>
        <v>70</v>
      </c>
      <c r="AI38" s="89">
        <f t="shared" si="37"/>
        <v>2.83</v>
      </c>
      <c r="AJ38" s="90">
        <f t="shared" si="37"/>
        <v>67.5</v>
      </c>
      <c r="AL38" s="88">
        <f t="shared" ref="AL38:AY38" si="38">(-AL37+AL39)/2+AL37</f>
        <v>67.5</v>
      </c>
      <c r="AM38" s="89">
        <f t="shared" si="38"/>
        <v>1.53</v>
      </c>
      <c r="AN38" s="89">
        <f t="shared" si="38"/>
        <v>2.46</v>
      </c>
      <c r="AO38" s="89">
        <f t="shared" si="38"/>
        <v>1.9550000000000001</v>
      </c>
      <c r="AP38" s="89">
        <f t="shared" si="38"/>
        <v>1.865</v>
      </c>
      <c r="AQ38" s="89">
        <f t="shared" si="38"/>
        <v>1.75</v>
      </c>
      <c r="AR38" s="89">
        <f t="shared" si="38"/>
        <v>2.77</v>
      </c>
      <c r="AS38" s="89">
        <f t="shared" si="38"/>
        <v>1.0900000000000001</v>
      </c>
      <c r="AT38" s="89">
        <f t="shared" si="38"/>
        <v>2.355</v>
      </c>
      <c r="AU38" s="89">
        <f t="shared" si="38"/>
        <v>1.6</v>
      </c>
      <c r="AV38" s="89">
        <f t="shared" si="38"/>
        <v>1.4350000000000001</v>
      </c>
      <c r="AW38" s="89">
        <f t="shared" si="38"/>
        <v>63.5</v>
      </c>
      <c r="AX38" s="89">
        <f t="shared" si="38"/>
        <v>2.64</v>
      </c>
      <c r="AY38" s="90">
        <f t="shared" si="38"/>
        <v>67.5</v>
      </c>
      <c r="BA38" s="88">
        <f t="shared" ref="BA38:BN38" si="39">(-BA37+BA39)/2+BA37</f>
        <v>67.5</v>
      </c>
      <c r="BB38" s="89">
        <f t="shared" si="39"/>
        <v>2.46</v>
      </c>
      <c r="BC38" s="89">
        <f t="shared" si="39"/>
        <v>2.9000000000000004</v>
      </c>
      <c r="BD38" s="89">
        <f t="shared" si="39"/>
        <v>2.7749999999999999</v>
      </c>
      <c r="BE38" s="89">
        <f t="shared" si="39"/>
        <v>2.8449999999999998</v>
      </c>
      <c r="BF38" s="89">
        <f t="shared" si="39"/>
        <v>2.7749999999999999</v>
      </c>
      <c r="BG38" s="89">
        <f t="shared" si="39"/>
        <v>3.1799999999999997</v>
      </c>
      <c r="BH38" s="89">
        <f t="shared" si="39"/>
        <v>2.0699999999999998</v>
      </c>
      <c r="BI38" s="89">
        <f t="shared" si="39"/>
        <v>2.9649999999999999</v>
      </c>
      <c r="BJ38" s="89">
        <f t="shared" si="39"/>
        <v>2.15</v>
      </c>
      <c r="BK38" s="89">
        <f t="shared" si="39"/>
        <v>2.0950000000000002</v>
      </c>
      <c r="BL38" s="89">
        <f t="shared" si="39"/>
        <v>76.504999999999995</v>
      </c>
      <c r="BM38" s="89">
        <f t="shared" si="39"/>
        <v>2.88</v>
      </c>
      <c r="BN38" s="90">
        <f t="shared" si="39"/>
        <v>67.5</v>
      </c>
    </row>
    <row r="39" spans="1:66" ht="16.5" customHeight="1" thickBot="1" x14ac:dyDescent="0.3">
      <c r="A39" s="36" t="s">
        <v>94</v>
      </c>
      <c r="B39" s="36">
        <v>26</v>
      </c>
      <c r="C39" s="53" t="s">
        <v>25</v>
      </c>
      <c r="D39" s="99"/>
      <c r="E39" s="48" t="str">
        <f t="shared" si="1"/>
        <v/>
      </c>
      <c r="F39" s="49" t="str">
        <f t="shared" si="0"/>
        <v>DEP</v>
      </c>
      <c r="H39" s="88">
        <v>70</v>
      </c>
      <c r="I39" s="89">
        <v>2.36</v>
      </c>
      <c r="J39" s="89">
        <v>2.9</v>
      </c>
      <c r="K39" s="89">
        <v>2.6</v>
      </c>
      <c r="L39" s="89">
        <v>2.8</v>
      </c>
      <c r="M39" s="89">
        <v>2.5</v>
      </c>
      <c r="N39" s="89">
        <v>2.56</v>
      </c>
      <c r="O39" s="89">
        <v>2</v>
      </c>
      <c r="P39" s="89">
        <v>3</v>
      </c>
      <c r="Q39" s="89">
        <v>1.97</v>
      </c>
      <c r="R39" s="89">
        <v>2.1800000000000002</v>
      </c>
      <c r="S39" s="89">
        <v>74</v>
      </c>
      <c r="T39" s="89">
        <v>2.99</v>
      </c>
      <c r="U39" s="90">
        <v>70</v>
      </c>
      <c r="W39" s="88">
        <v>70</v>
      </c>
      <c r="X39" s="89">
        <v>2.36</v>
      </c>
      <c r="Y39" s="89">
        <v>2.9</v>
      </c>
      <c r="Z39" s="89">
        <v>2.6</v>
      </c>
      <c r="AA39" s="89">
        <v>2.8</v>
      </c>
      <c r="AB39" s="89">
        <v>2.5</v>
      </c>
      <c r="AC39" s="89">
        <v>2.56</v>
      </c>
      <c r="AD39" s="89">
        <v>2</v>
      </c>
      <c r="AE39" s="89">
        <v>3</v>
      </c>
      <c r="AF39" s="89">
        <v>1.97</v>
      </c>
      <c r="AG39" s="89">
        <v>2.1800000000000002</v>
      </c>
      <c r="AH39" s="89">
        <v>74</v>
      </c>
      <c r="AI39" s="89">
        <v>2.99</v>
      </c>
      <c r="AJ39" s="90">
        <v>70</v>
      </c>
      <c r="AL39" s="88">
        <v>70</v>
      </c>
      <c r="AM39" s="89">
        <v>1.75</v>
      </c>
      <c r="AN39" s="89">
        <v>2.72</v>
      </c>
      <c r="AO39" s="89">
        <v>2.2400000000000002</v>
      </c>
      <c r="AP39" s="89">
        <v>2.11</v>
      </c>
      <c r="AQ39" s="89">
        <v>2.0699999999999998</v>
      </c>
      <c r="AR39" s="89">
        <v>3.21</v>
      </c>
      <c r="AS39" s="89">
        <v>1.32</v>
      </c>
      <c r="AT39" s="89">
        <v>2.71</v>
      </c>
      <c r="AU39" s="89">
        <v>1.92</v>
      </c>
      <c r="AV39" s="89">
        <v>1.6</v>
      </c>
      <c r="AW39" s="89">
        <v>71</v>
      </c>
      <c r="AX39" s="89">
        <v>2.81</v>
      </c>
      <c r="AY39" s="90">
        <v>70</v>
      </c>
      <c r="BA39" s="88">
        <v>70</v>
      </c>
      <c r="BB39" s="89">
        <v>2.84</v>
      </c>
      <c r="BC39" s="89">
        <v>3.2</v>
      </c>
      <c r="BD39" s="89">
        <v>3.11</v>
      </c>
      <c r="BE39" s="89">
        <v>3.23</v>
      </c>
      <c r="BF39" s="89">
        <v>3.15</v>
      </c>
      <c r="BG39" s="89">
        <v>3.55</v>
      </c>
      <c r="BH39" s="89">
        <v>2.57</v>
      </c>
      <c r="BI39" s="89">
        <v>3.26</v>
      </c>
      <c r="BJ39" s="89">
        <v>2.5</v>
      </c>
      <c r="BK39" s="89">
        <v>2.33</v>
      </c>
      <c r="BL39" s="89">
        <v>80.62</v>
      </c>
      <c r="BM39" s="89">
        <v>3.1</v>
      </c>
      <c r="BN39" s="90">
        <v>70</v>
      </c>
    </row>
    <row r="40" spans="1:66" ht="16.5" customHeight="1" thickBot="1" x14ac:dyDescent="0.3">
      <c r="A40" s="36" t="s">
        <v>91</v>
      </c>
      <c r="B40" s="36">
        <v>27</v>
      </c>
      <c r="C40" s="58" t="s">
        <v>26</v>
      </c>
      <c r="D40" s="99"/>
      <c r="E40" s="48" t="str">
        <f t="shared" si="1"/>
        <v/>
      </c>
      <c r="F40" s="49" t="str">
        <f t="shared" si="0"/>
        <v>SOM</v>
      </c>
      <c r="H40" s="88">
        <f>+(-H39+H41)/2+H39</f>
        <v>72.5</v>
      </c>
      <c r="I40" s="89">
        <f>+(-I39+I41)/2+I39</f>
        <v>2.6150000000000002</v>
      </c>
      <c r="J40" s="89">
        <f>+(-J39+J41)/2+J39</f>
        <v>3.1550000000000002</v>
      </c>
      <c r="K40" s="89">
        <f t="shared" ref="K40:U40" si="40">+(-K39+K41)/2+K39</f>
        <v>2.8</v>
      </c>
      <c r="L40" s="89">
        <f t="shared" si="40"/>
        <v>3.0549999999999997</v>
      </c>
      <c r="M40" s="89">
        <f t="shared" si="40"/>
        <v>2.77</v>
      </c>
      <c r="N40" s="89">
        <f t="shared" si="40"/>
        <v>2.8650000000000002</v>
      </c>
      <c r="O40" s="89">
        <f t="shared" si="40"/>
        <v>2.3149999999999999</v>
      </c>
      <c r="P40" s="89">
        <f t="shared" si="40"/>
        <v>3.3899999999999997</v>
      </c>
      <c r="Q40" s="89">
        <f t="shared" si="40"/>
        <v>2.27</v>
      </c>
      <c r="R40" s="89">
        <f t="shared" si="40"/>
        <v>2.3200000000000003</v>
      </c>
      <c r="S40" s="89">
        <f t="shared" si="40"/>
        <v>75.85499999999999</v>
      </c>
      <c r="T40" s="89">
        <f t="shared" si="40"/>
        <v>3.0700000000000003</v>
      </c>
      <c r="U40" s="90">
        <f t="shared" si="40"/>
        <v>72.5</v>
      </c>
      <c r="W40" s="88">
        <f t="shared" ref="W40:AJ40" si="41">(-W39+W41)/2+W39</f>
        <v>72.5</v>
      </c>
      <c r="X40" s="89">
        <f t="shared" si="41"/>
        <v>2.6150000000000002</v>
      </c>
      <c r="Y40" s="89">
        <f t="shared" si="41"/>
        <v>3.1550000000000002</v>
      </c>
      <c r="Z40" s="89">
        <f t="shared" si="41"/>
        <v>2.8</v>
      </c>
      <c r="AA40" s="89">
        <f t="shared" si="41"/>
        <v>3.0549999999999997</v>
      </c>
      <c r="AB40" s="89">
        <f t="shared" si="41"/>
        <v>2.77</v>
      </c>
      <c r="AC40" s="89">
        <f t="shared" si="41"/>
        <v>2.8650000000000002</v>
      </c>
      <c r="AD40" s="89">
        <f t="shared" si="41"/>
        <v>2.3149999999999999</v>
      </c>
      <c r="AE40" s="89">
        <f t="shared" si="41"/>
        <v>3.3899999999999997</v>
      </c>
      <c r="AF40" s="89">
        <f t="shared" si="41"/>
        <v>2.27</v>
      </c>
      <c r="AG40" s="89">
        <f t="shared" si="41"/>
        <v>2.3200000000000003</v>
      </c>
      <c r="AH40" s="89">
        <f t="shared" si="41"/>
        <v>75.85499999999999</v>
      </c>
      <c r="AI40" s="89">
        <f t="shared" si="41"/>
        <v>3.0700000000000003</v>
      </c>
      <c r="AJ40" s="90">
        <f t="shared" si="41"/>
        <v>72.5</v>
      </c>
      <c r="AL40" s="88">
        <f t="shared" ref="AL40:AY40" si="42">(-AL39+AL41)/2+AL39</f>
        <v>72.5</v>
      </c>
      <c r="AM40" s="89">
        <f t="shared" si="42"/>
        <v>1.99</v>
      </c>
      <c r="AN40" s="89">
        <f t="shared" si="42"/>
        <v>3.1</v>
      </c>
      <c r="AO40" s="89">
        <f t="shared" si="42"/>
        <v>2.54</v>
      </c>
      <c r="AP40" s="89">
        <f t="shared" si="42"/>
        <v>2.4699999999999998</v>
      </c>
      <c r="AQ40" s="89">
        <f t="shared" si="42"/>
        <v>2.48</v>
      </c>
      <c r="AR40" s="89">
        <f t="shared" si="42"/>
        <v>3.415</v>
      </c>
      <c r="AS40" s="89">
        <f t="shared" si="42"/>
        <v>2.3449999999999998</v>
      </c>
      <c r="AT40" s="89">
        <f t="shared" si="42"/>
        <v>3.1</v>
      </c>
      <c r="AU40" s="89">
        <f t="shared" si="42"/>
        <v>2.1749999999999998</v>
      </c>
      <c r="AV40" s="89">
        <f t="shared" si="42"/>
        <v>1.93</v>
      </c>
      <c r="AW40" s="89">
        <f t="shared" si="42"/>
        <v>72.765000000000001</v>
      </c>
      <c r="AX40" s="89">
        <f t="shared" si="42"/>
        <v>3.2650000000000001</v>
      </c>
      <c r="AY40" s="90">
        <f t="shared" si="42"/>
        <v>72.5</v>
      </c>
      <c r="BA40" s="88">
        <f t="shared" ref="BA40:BN40" si="43">(-BA39+BA41)/2+BA39</f>
        <v>72.5</v>
      </c>
      <c r="BB40" s="89">
        <f t="shared" si="43"/>
        <v>3.09</v>
      </c>
      <c r="BC40" s="89">
        <f t="shared" si="43"/>
        <v>3.25</v>
      </c>
      <c r="BD40" s="89">
        <f t="shared" si="43"/>
        <v>3.34</v>
      </c>
      <c r="BE40" s="89">
        <f t="shared" si="43"/>
        <v>3.44</v>
      </c>
      <c r="BF40" s="89">
        <f t="shared" si="43"/>
        <v>3.585</v>
      </c>
      <c r="BG40" s="89">
        <f t="shared" si="43"/>
        <v>3.7749999999999999</v>
      </c>
      <c r="BH40" s="89">
        <f t="shared" si="43"/>
        <v>2.73</v>
      </c>
      <c r="BI40" s="89">
        <f t="shared" si="43"/>
        <v>3.3049999999999997</v>
      </c>
      <c r="BJ40" s="89">
        <f t="shared" si="43"/>
        <v>2.7549999999999999</v>
      </c>
      <c r="BK40" s="89">
        <f t="shared" si="43"/>
        <v>2.5549999999999997</v>
      </c>
      <c r="BL40" s="89">
        <f t="shared" si="43"/>
        <v>84.34</v>
      </c>
      <c r="BM40" s="89">
        <f t="shared" si="43"/>
        <v>3.23</v>
      </c>
      <c r="BN40" s="90">
        <f t="shared" si="43"/>
        <v>72.5</v>
      </c>
    </row>
    <row r="41" spans="1:66" ht="16.5" customHeight="1" thickBot="1" x14ac:dyDescent="0.3">
      <c r="A41" s="36" t="s">
        <v>92</v>
      </c>
      <c r="B41" s="36">
        <v>28</v>
      </c>
      <c r="C41" s="53" t="s">
        <v>27</v>
      </c>
      <c r="D41" s="99"/>
      <c r="E41" s="48" t="str">
        <f t="shared" si="1"/>
        <v/>
      </c>
      <c r="F41" s="49" t="str">
        <f t="shared" si="0"/>
        <v>OBS</v>
      </c>
      <c r="H41" s="88">
        <v>75</v>
      </c>
      <c r="I41" s="89">
        <v>2.87</v>
      </c>
      <c r="J41" s="89">
        <v>3.41</v>
      </c>
      <c r="K41" s="89">
        <v>3</v>
      </c>
      <c r="L41" s="89">
        <v>3.31</v>
      </c>
      <c r="M41" s="89">
        <v>3.04</v>
      </c>
      <c r="N41" s="89">
        <v>3.17</v>
      </c>
      <c r="O41" s="89">
        <v>2.63</v>
      </c>
      <c r="P41" s="89">
        <v>3.78</v>
      </c>
      <c r="Q41" s="89">
        <v>2.57</v>
      </c>
      <c r="R41" s="89">
        <v>2.46</v>
      </c>
      <c r="S41" s="89">
        <v>77.709999999999994</v>
      </c>
      <c r="T41" s="89">
        <v>3.15</v>
      </c>
      <c r="U41" s="90">
        <v>75</v>
      </c>
      <c r="W41" s="88">
        <v>75</v>
      </c>
      <c r="X41" s="89">
        <v>2.87</v>
      </c>
      <c r="Y41" s="89">
        <v>3.41</v>
      </c>
      <c r="Z41" s="89">
        <v>3</v>
      </c>
      <c r="AA41" s="89">
        <v>3.31</v>
      </c>
      <c r="AB41" s="89">
        <v>3.04</v>
      </c>
      <c r="AC41" s="89">
        <v>3.17</v>
      </c>
      <c r="AD41" s="89">
        <v>2.63</v>
      </c>
      <c r="AE41" s="89">
        <v>3.78</v>
      </c>
      <c r="AF41" s="89">
        <v>2.57</v>
      </c>
      <c r="AG41" s="89">
        <v>2.46</v>
      </c>
      <c r="AH41" s="89">
        <v>77.709999999999994</v>
      </c>
      <c r="AI41" s="89">
        <v>3.15</v>
      </c>
      <c r="AJ41" s="90">
        <v>75</v>
      </c>
      <c r="AL41" s="88">
        <v>75</v>
      </c>
      <c r="AM41" s="89">
        <v>2.23</v>
      </c>
      <c r="AN41" s="89">
        <v>3.48</v>
      </c>
      <c r="AO41" s="89">
        <v>2.84</v>
      </c>
      <c r="AP41" s="89">
        <v>2.83</v>
      </c>
      <c r="AQ41" s="89">
        <v>2.89</v>
      </c>
      <c r="AR41" s="89">
        <v>3.62</v>
      </c>
      <c r="AS41" s="89">
        <v>3.37</v>
      </c>
      <c r="AT41" s="89">
        <v>3.49</v>
      </c>
      <c r="AU41" s="89">
        <v>2.4300000000000002</v>
      </c>
      <c r="AV41" s="89">
        <v>2.2599999999999998</v>
      </c>
      <c r="AW41" s="89">
        <v>74.53</v>
      </c>
      <c r="AX41" s="89">
        <v>3.72</v>
      </c>
      <c r="AY41" s="90">
        <v>75</v>
      </c>
      <c r="BA41" s="88">
        <v>75</v>
      </c>
      <c r="BB41" s="89">
        <v>3.34</v>
      </c>
      <c r="BC41" s="89">
        <v>3.3</v>
      </c>
      <c r="BD41" s="89">
        <v>3.57</v>
      </c>
      <c r="BE41" s="89">
        <v>3.65</v>
      </c>
      <c r="BF41" s="89">
        <v>4.0199999999999996</v>
      </c>
      <c r="BG41" s="89">
        <v>4</v>
      </c>
      <c r="BH41" s="89">
        <v>2.89</v>
      </c>
      <c r="BI41" s="89">
        <v>3.35</v>
      </c>
      <c r="BJ41" s="89">
        <v>3.01</v>
      </c>
      <c r="BK41" s="89">
        <v>2.78</v>
      </c>
      <c r="BL41" s="89">
        <v>88.06</v>
      </c>
      <c r="BM41" s="89">
        <v>3.36</v>
      </c>
      <c r="BN41" s="90">
        <v>75</v>
      </c>
    </row>
    <row r="42" spans="1:66" ht="16.5" customHeight="1" thickBot="1" x14ac:dyDescent="0.3">
      <c r="A42" s="36" t="s">
        <v>94</v>
      </c>
      <c r="B42" s="36">
        <v>29</v>
      </c>
      <c r="C42" s="58" t="s">
        <v>28</v>
      </c>
      <c r="D42" s="99"/>
      <c r="E42" s="48" t="str">
        <f t="shared" si="1"/>
        <v/>
      </c>
      <c r="F42" s="49" t="str">
        <f t="shared" si="0"/>
        <v>DEP</v>
      </c>
      <c r="H42" s="88">
        <f>+(-H41+H43)/2+H41</f>
        <v>77.5</v>
      </c>
      <c r="I42" s="89">
        <f>+(-I41+I43)/2+I41</f>
        <v>2.9350000000000001</v>
      </c>
      <c r="J42" s="89">
        <f>+(-J41+J43)/2+J41</f>
        <v>3.4550000000000001</v>
      </c>
      <c r="K42" s="89">
        <f t="shared" ref="K42:U42" si="44">+(-K41+K43)/2+K41</f>
        <v>3</v>
      </c>
      <c r="L42" s="89">
        <f t="shared" si="44"/>
        <v>3.5</v>
      </c>
      <c r="M42" s="89">
        <f t="shared" si="44"/>
        <v>3.0700000000000003</v>
      </c>
      <c r="N42" s="89">
        <f t="shared" si="44"/>
        <v>3.25</v>
      </c>
      <c r="O42" s="89">
        <f t="shared" si="44"/>
        <v>2.8849999999999998</v>
      </c>
      <c r="P42" s="89">
        <f t="shared" si="44"/>
        <v>3.8899999999999997</v>
      </c>
      <c r="Q42" s="89">
        <f t="shared" si="44"/>
        <v>2.6349999999999998</v>
      </c>
      <c r="R42" s="89">
        <f t="shared" si="44"/>
        <v>2.5</v>
      </c>
      <c r="S42" s="89">
        <f t="shared" si="44"/>
        <v>79.85499999999999</v>
      </c>
      <c r="T42" s="89">
        <f t="shared" si="44"/>
        <v>3.21</v>
      </c>
      <c r="U42" s="90">
        <f t="shared" si="44"/>
        <v>77.5</v>
      </c>
      <c r="W42" s="88">
        <f t="shared" ref="W42:AJ42" si="45">(-W41+W43)/2+W41</f>
        <v>77.5</v>
      </c>
      <c r="X42" s="89">
        <f t="shared" si="45"/>
        <v>2.9350000000000001</v>
      </c>
      <c r="Y42" s="89">
        <f t="shared" si="45"/>
        <v>3.4550000000000001</v>
      </c>
      <c r="Z42" s="89">
        <f t="shared" si="45"/>
        <v>3</v>
      </c>
      <c r="AA42" s="89">
        <f t="shared" si="45"/>
        <v>3.5</v>
      </c>
      <c r="AB42" s="89">
        <f t="shared" si="45"/>
        <v>3.0700000000000003</v>
      </c>
      <c r="AC42" s="89">
        <f t="shared" si="45"/>
        <v>3.25</v>
      </c>
      <c r="AD42" s="89">
        <f t="shared" si="45"/>
        <v>2.8849999999999998</v>
      </c>
      <c r="AE42" s="89">
        <f t="shared" si="45"/>
        <v>3.8899999999999997</v>
      </c>
      <c r="AF42" s="89">
        <f t="shared" si="45"/>
        <v>2.6349999999999998</v>
      </c>
      <c r="AG42" s="89">
        <f t="shared" si="45"/>
        <v>2.5</v>
      </c>
      <c r="AH42" s="89">
        <f t="shared" si="45"/>
        <v>79.85499999999999</v>
      </c>
      <c r="AI42" s="89">
        <f t="shared" si="45"/>
        <v>3.21</v>
      </c>
      <c r="AJ42" s="90">
        <f t="shared" si="45"/>
        <v>77.5</v>
      </c>
      <c r="AL42" s="88">
        <f t="shared" ref="AL42:AY42" si="46">(-AL41+AL43)/2+AL41</f>
        <v>77.5</v>
      </c>
      <c r="AM42" s="89">
        <f t="shared" si="46"/>
        <v>2.6550000000000002</v>
      </c>
      <c r="AN42" s="89">
        <f t="shared" si="46"/>
        <v>3.6850000000000001</v>
      </c>
      <c r="AO42" s="89">
        <f t="shared" si="46"/>
        <v>2.92</v>
      </c>
      <c r="AP42" s="89">
        <f t="shared" si="46"/>
        <v>2.915</v>
      </c>
      <c r="AQ42" s="89">
        <f t="shared" si="46"/>
        <v>3.2949999999999999</v>
      </c>
      <c r="AR42" s="89">
        <f t="shared" si="46"/>
        <v>3.645</v>
      </c>
      <c r="AS42" s="89">
        <f t="shared" si="46"/>
        <v>3.6850000000000001</v>
      </c>
      <c r="AT42" s="89">
        <f t="shared" si="46"/>
        <v>4.16</v>
      </c>
      <c r="AU42" s="89">
        <f t="shared" si="46"/>
        <v>2.4649999999999999</v>
      </c>
      <c r="AV42" s="89">
        <f t="shared" si="46"/>
        <v>2.3250000000000002</v>
      </c>
      <c r="AW42" s="89">
        <f t="shared" si="46"/>
        <v>75.265000000000001</v>
      </c>
      <c r="AX42" s="89">
        <f t="shared" si="46"/>
        <v>3.8600000000000003</v>
      </c>
      <c r="AY42" s="90">
        <f t="shared" si="46"/>
        <v>77.5</v>
      </c>
      <c r="BA42" s="88">
        <f t="shared" ref="BA42:BN42" si="47">(-BA41+BA43)/2+BA41</f>
        <v>77.5</v>
      </c>
      <c r="BB42" s="89">
        <f t="shared" si="47"/>
        <v>3.38</v>
      </c>
      <c r="BC42" s="89">
        <f t="shared" si="47"/>
        <v>3.3</v>
      </c>
      <c r="BD42" s="89">
        <f t="shared" si="47"/>
        <v>3.6749999999999998</v>
      </c>
      <c r="BE42" s="89">
        <f t="shared" si="47"/>
        <v>4.45</v>
      </c>
      <c r="BF42" s="89">
        <f t="shared" si="47"/>
        <v>4.1999999999999993</v>
      </c>
      <c r="BG42" s="89">
        <f t="shared" si="47"/>
        <v>4</v>
      </c>
      <c r="BH42" s="89">
        <f t="shared" si="47"/>
        <v>3.16</v>
      </c>
      <c r="BI42" s="89">
        <f t="shared" si="47"/>
        <v>3.51</v>
      </c>
      <c r="BJ42" s="89">
        <f t="shared" si="47"/>
        <v>3.105</v>
      </c>
      <c r="BK42" s="89">
        <f t="shared" si="47"/>
        <v>2.95</v>
      </c>
      <c r="BL42" s="89">
        <f t="shared" si="47"/>
        <v>88.53</v>
      </c>
      <c r="BM42" s="89">
        <f t="shared" si="47"/>
        <v>3.3650000000000002</v>
      </c>
      <c r="BN42" s="90">
        <f t="shared" si="47"/>
        <v>77.5</v>
      </c>
    </row>
    <row r="43" spans="1:66" ht="16.5" customHeight="1" thickBot="1" x14ac:dyDescent="0.3">
      <c r="A43" s="36" t="s">
        <v>94</v>
      </c>
      <c r="B43" s="36">
        <v>30</v>
      </c>
      <c r="C43" s="53" t="s">
        <v>29</v>
      </c>
      <c r="D43" s="99"/>
      <c r="E43" s="48" t="str">
        <f t="shared" si="1"/>
        <v/>
      </c>
      <c r="F43" s="49" t="str">
        <f t="shared" si="0"/>
        <v>DEP</v>
      </c>
      <c r="H43" s="88">
        <v>80</v>
      </c>
      <c r="I43" s="89">
        <v>3</v>
      </c>
      <c r="J43" s="89">
        <v>3.5</v>
      </c>
      <c r="K43" s="89">
        <v>3</v>
      </c>
      <c r="L43" s="89">
        <v>3.69</v>
      </c>
      <c r="M43" s="89">
        <v>3.1</v>
      </c>
      <c r="N43" s="89">
        <v>3.33</v>
      </c>
      <c r="O43" s="89">
        <v>3.14</v>
      </c>
      <c r="P43" s="89">
        <v>4</v>
      </c>
      <c r="Q43" s="89">
        <v>2.7</v>
      </c>
      <c r="R43" s="89">
        <v>2.54</v>
      </c>
      <c r="S43" s="89">
        <v>82</v>
      </c>
      <c r="T43" s="89">
        <v>3.27</v>
      </c>
      <c r="U43" s="90">
        <v>80</v>
      </c>
      <c r="W43" s="91">
        <v>80</v>
      </c>
      <c r="X43" s="92">
        <v>3</v>
      </c>
      <c r="Y43" s="92">
        <v>3.5</v>
      </c>
      <c r="Z43" s="92">
        <v>3</v>
      </c>
      <c r="AA43" s="92">
        <v>3.69</v>
      </c>
      <c r="AB43" s="92">
        <v>3.1</v>
      </c>
      <c r="AC43" s="92">
        <v>3.33</v>
      </c>
      <c r="AD43" s="92">
        <v>3.14</v>
      </c>
      <c r="AE43" s="92">
        <v>4</v>
      </c>
      <c r="AF43" s="92">
        <v>2.7</v>
      </c>
      <c r="AG43" s="92">
        <v>2.54</v>
      </c>
      <c r="AH43" s="92">
        <v>82</v>
      </c>
      <c r="AI43" s="92">
        <v>3.27</v>
      </c>
      <c r="AJ43" s="93">
        <v>80</v>
      </c>
      <c r="AL43" s="91">
        <v>80</v>
      </c>
      <c r="AM43" s="92">
        <v>3.08</v>
      </c>
      <c r="AN43" s="92">
        <v>3.89</v>
      </c>
      <c r="AO43" s="92">
        <v>3</v>
      </c>
      <c r="AP43" s="92">
        <v>3</v>
      </c>
      <c r="AQ43" s="92">
        <v>3.7</v>
      </c>
      <c r="AR43" s="92">
        <v>3.67</v>
      </c>
      <c r="AS43" s="92">
        <v>4</v>
      </c>
      <c r="AT43" s="92">
        <v>4.83</v>
      </c>
      <c r="AU43" s="92">
        <v>2.5</v>
      </c>
      <c r="AV43" s="92">
        <v>2.39</v>
      </c>
      <c r="AW43" s="92">
        <v>76</v>
      </c>
      <c r="AX43" s="92">
        <v>4</v>
      </c>
      <c r="AY43" s="93">
        <v>80</v>
      </c>
      <c r="BA43" s="91">
        <v>80</v>
      </c>
      <c r="BB43" s="92">
        <v>3.42</v>
      </c>
      <c r="BC43" s="92">
        <v>3.3</v>
      </c>
      <c r="BD43" s="92">
        <v>3.78</v>
      </c>
      <c r="BE43" s="92">
        <v>5.25</v>
      </c>
      <c r="BF43" s="92">
        <v>4.38</v>
      </c>
      <c r="BG43" s="92">
        <v>4</v>
      </c>
      <c r="BH43" s="92">
        <v>3.43</v>
      </c>
      <c r="BI43" s="92">
        <v>3.67</v>
      </c>
      <c r="BJ43" s="92">
        <v>3.2</v>
      </c>
      <c r="BK43" s="92">
        <v>3.12</v>
      </c>
      <c r="BL43" s="92">
        <v>89</v>
      </c>
      <c r="BM43" s="92">
        <v>3.37</v>
      </c>
      <c r="BN43" s="93">
        <v>80</v>
      </c>
    </row>
    <row r="44" spans="1:66" ht="16.5" customHeight="1" thickBot="1" x14ac:dyDescent="0.3">
      <c r="A44" s="36" t="s">
        <v>94</v>
      </c>
      <c r="B44" s="36">
        <v>31</v>
      </c>
      <c r="C44" s="58" t="s">
        <v>30</v>
      </c>
      <c r="D44" s="99"/>
      <c r="E44" s="48" t="str">
        <f t="shared" si="1"/>
        <v/>
      </c>
      <c r="F44" s="49" t="str">
        <f t="shared" si="0"/>
        <v>DEP</v>
      </c>
      <c r="H44" s="124" t="s">
        <v>357</v>
      </c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6"/>
      <c r="W44" s="139" t="s">
        <v>267</v>
      </c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1"/>
      <c r="AL44" s="130" t="s">
        <v>270</v>
      </c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2"/>
      <c r="BA44" s="130" t="s">
        <v>274</v>
      </c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2"/>
    </row>
    <row r="45" spans="1:66" ht="16.5" customHeight="1" thickBot="1" x14ac:dyDescent="0.3">
      <c r="A45" s="36" t="s">
        <v>94</v>
      </c>
      <c r="B45" s="36">
        <v>32</v>
      </c>
      <c r="C45" s="53" t="s">
        <v>31</v>
      </c>
      <c r="D45" s="99"/>
      <c r="E45" s="48" t="str">
        <f t="shared" si="1"/>
        <v/>
      </c>
      <c r="F45" s="49" t="str">
        <f t="shared" si="0"/>
        <v>DEP</v>
      </c>
    </row>
    <row r="46" spans="1:66" ht="16.5" customHeight="1" thickBot="1" x14ac:dyDescent="0.3">
      <c r="A46" s="36" t="s">
        <v>95</v>
      </c>
      <c r="B46" s="36">
        <v>33</v>
      </c>
      <c r="C46" s="58" t="s">
        <v>32</v>
      </c>
      <c r="D46" s="99"/>
      <c r="E46" s="48" t="str">
        <f t="shared" si="1"/>
        <v/>
      </c>
      <c r="F46" s="49" t="str">
        <f t="shared" ref="F46:F77" si="48">IF(D46="",A46,"")</f>
        <v>ANS</v>
      </c>
    </row>
    <row r="47" spans="1:66" ht="16.5" customHeight="1" thickBot="1" x14ac:dyDescent="0.3">
      <c r="A47" s="36" t="s">
        <v>93</v>
      </c>
      <c r="B47" s="36">
        <v>34</v>
      </c>
      <c r="C47" s="53" t="s">
        <v>33</v>
      </c>
      <c r="D47" s="99"/>
      <c r="E47" s="48" t="str">
        <f t="shared" si="1"/>
        <v/>
      </c>
      <c r="F47" s="49" t="str">
        <f t="shared" si="48"/>
        <v>S.I</v>
      </c>
    </row>
    <row r="48" spans="1:66" ht="16.5" customHeight="1" thickBot="1" x14ac:dyDescent="0.3">
      <c r="A48" s="36" t="s">
        <v>99</v>
      </c>
      <c r="B48" s="36">
        <v>35</v>
      </c>
      <c r="C48" s="58" t="s">
        <v>34</v>
      </c>
      <c r="D48" s="99"/>
      <c r="E48" s="48" t="str">
        <f t="shared" si="1"/>
        <v/>
      </c>
      <c r="F48" s="49" t="str">
        <f t="shared" si="48"/>
        <v>PSIC</v>
      </c>
    </row>
    <row r="49" spans="1:6" ht="16.5" customHeight="1" thickBot="1" x14ac:dyDescent="0.3">
      <c r="A49" s="36" t="s">
        <v>93</v>
      </c>
      <c r="B49" s="36">
        <v>36</v>
      </c>
      <c r="C49" s="53" t="s">
        <v>35</v>
      </c>
      <c r="D49" s="99"/>
      <c r="E49" s="48" t="str">
        <f t="shared" si="1"/>
        <v/>
      </c>
      <c r="F49" s="49" t="str">
        <f t="shared" si="48"/>
        <v>S.I</v>
      </c>
    </row>
    <row r="50" spans="1:6" ht="16.5" customHeight="1" thickBot="1" x14ac:dyDescent="0.3">
      <c r="A50" s="36" t="s">
        <v>93</v>
      </c>
      <c r="B50" s="36">
        <v>37</v>
      </c>
      <c r="C50" s="58" t="s">
        <v>36</v>
      </c>
      <c r="D50" s="99"/>
      <c r="E50" s="48" t="str">
        <f t="shared" si="1"/>
        <v/>
      </c>
      <c r="F50" s="49" t="str">
        <f t="shared" si="48"/>
        <v>S.I</v>
      </c>
    </row>
    <row r="51" spans="1:6" ht="16.5" customHeight="1" thickBot="1" x14ac:dyDescent="0.3">
      <c r="A51" s="36" t="s">
        <v>92</v>
      </c>
      <c r="B51" s="36">
        <v>38</v>
      </c>
      <c r="C51" s="53" t="s">
        <v>88</v>
      </c>
      <c r="D51" s="99"/>
      <c r="E51" s="48" t="str">
        <f t="shared" si="1"/>
        <v/>
      </c>
      <c r="F51" s="49" t="str">
        <f t="shared" si="48"/>
        <v>OBS</v>
      </c>
    </row>
    <row r="52" spans="1:6" ht="16.5" customHeight="1" thickBot="1" x14ac:dyDescent="0.3">
      <c r="A52" s="36" t="s">
        <v>95</v>
      </c>
      <c r="B52" s="36">
        <v>39</v>
      </c>
      <c r="C52" s="58" t="s">
        <v>37</v>
      </c>
      <c r="D52" s="99"/>
      <c r="E52" s="48" t="str">
        <f t="shared" si="1"/>
        <v/>
      </c>
      <c r="F52" s="49" t="str">
        <f t="shared" si="48"/>
        <v>ANS</v>
      </c>
    </row>
    <row r="53" spans="1:6" ht="16.5" customHeight="1" thickBot="1" x14ac:dyDescent="0.3">
      <c r="A53" s="36" t="s">
        <v>91</v>
      </c>
      <c r="B53" s="36">
        <v>40</v>
      </c>
      <c r="C53" s="53" t="s">
        <v>38</v>
      </c>
      <c r="D53" s="99"/>
      <c r="E53" s="48" t="str">
        <f t="shared" si="1"/>
        <v/>
      </c>
      <c r="F53" s="49" t="str">
        <f t="shared" si="48"/>
        <v>SOM</v>
      </c>
    </row>
    <row r="54" spans="1:6" ht="16.5" customHeight="1" thickBot="1" x14ac:dyDescent="0.3">
      <c r="A54" s="36" t="s">
        <v>93</v>
      </c>
      <c r="B54" s="36">
        <v>41</v>
      </c>
      <c r="C54" s="58" t="s">
        <v>39</v>
      </c>
      <c r="D54" s="99"/>
      <c r="E54" s="48" t="str">
        <f t="shared" si="1"/>
        <v/>
      </c>
      <c r="F54" s="49" t="str">
        <f t="shared" si="48"/>
        <v>S.I</v>
      </c>
    </row>
    <row r="55" spans="1:6" ht="15.75" thickBot="1" x14ac:dyDescent="0.3">
      <c r="A55" s="36" t="s">
        <v>91</v>
      </c>
      <c r="B55" s="36">
        <v>42</v>
      </c>
      <c r="C55" s="53" t="s">
        <v>40</v>
      </c>
      <c r="D55" s="99"/>
      <c r="E55" s="48" t="str">
        <f t="shared" si="1"/>
        <v/>
      </c>
      <c r="F55" s="49" t="str">
        <f t="shared" si="48"/>
        <v>SOM</v>
      </c>
    </row>
    <row r="56" spans="1:6" ht="15.75" thickBot="1" x14ac:dyDescent="0.3">
      <c r="A56" s="36" t="s">
        <v>98</v>
      </c>
      <c r="B56" s="36">
        <v>43</v>
      </c>
      <c r="C56" s="58" t="s">
        <v>41</v>
      </c>
      <c r="D56" s="99"/>
      <c r="E56" s="48" t="str">
        <f t="shared" si="1"/>
        <v/>
      </c>
      <c r="F56" s="49" t="str">
        <f t="shared" si="48"/>
        <v>PAR</v>
      </c>
    </row>
    <row r="57" spans="1:6" ht="15.75" thickBot="1" x14ac:dyDescent="0.3">
      <c r="A57" s="36" t="s">
        <v>100</v>
      </c>
      <c r="B57" s="36">
        <v>44</v>
      </c>
      <c r="C57" s="53" t="s">
        <v>42</v>
      </c>
      <c r="D57" s="99"/>
      <c r="E57" s="48" t="str">
        <f t="shared" si="1"/>
        <v/>
      </c>
      <c r="F57" s="49" t="str">
        <f t="shared" si="48"/>
        <v>Item Adicional</v>
      </c>
    </row>
    <row r="58" spans="1:6" ht="15.75" thickBot="1" x14ac:dyDescent="0.3">
      <c r="A58" s="36" t="s">
        <v>92</v>
      </c>
      <c r="B58" s="36">
        <v>45</v>
      </c>
      <c r="C58" s="58" t="s">
        <v>43</v>
      </c>
      <c r="D58" s="99"/>
      <c r="E58" s="48" t="str">
        <f t="shared" si="1"/>
        <v/>
      </c>
      <c r="F58" s="49" t="str">
        <f t="shared" si="48"/>
        <v>OBS</v>
      </c>
    </row>
    <row r="59" spans="1:6" ht="15.75" thickBot="1" x14ac:dyDescent="0.3">
      <c r="A59" s="36" t="s">
        <v>92</v>
      </c>
      <c r="B59" s="36">
        <v>46</v>
      </c>
      <c r="C59" s="53" t="s">
        <v>44</v>
      </c>
      <c r="D59" s="99"/>
      <c r="E59" s="48" t="str">
        <f t="shared" si="1"/>
        <v/>
      </c>
      <c r="F59" s="49" t="str">
        <f t="shared" si="48"/>
        <v>OBS</v>
      </c>
    </row>
    <row r="60" spans="1:6" ht="15.75" thickBot="1" x14ac:dyDescent="0.3">
      <c r="A60" s="36" t="s">
        <v>97</v>
      </c>
      <c r="B60" s="36">
        <v>47</v>
      </c>
      <c r="C60" s="58" t="s">
        <v>45</v>
      </c>
      <c r="D60" s="99"/>
      <c r="E60" s="48" t="str">
        <f t="shared" si="1"/>
        <v/>
      </c>
      <c r="F60" s="49" t="str">
        <f t="shared" si="48"/>
        <v>FOB</v>
      </c>
    </row>
    <row r="61" spans="1:6" ht="15.75" thickBot="1" x14ac:dyDescent="0.3">
      <c r="A61" s="36" t="s">
        <v>91</v>
      </c>
      <c r="B61" s="36">
        <v>48</v>
      </c>
      <c r="C61" s="53" t="s">
        <v>46</v>
      </c>
      <c r="D61" s="99"/>
      <c r="E61" s="48" t="str">
        <f t="shared" si="1"/>
        <v/>
      </c>
      <c r="F61" s="49" t="str">
        <f t="shared" si="48"/>
        <v>SOM</v>
      </c>
    </row>
    <row r="62" spans="1:6" ht="15.75" thickBot="1" x14ac:dyDescent="0.3">
      <c r="A62" s="36" t="s">
        <v>91</v>
      </c>
      <c r="B62" s="36">
        <v>49</v>
      </c>
      <c r="C62" s="58" t="s">
        <v>47</v>
      </c>
      <c r="D62" s="99"/>
      <c r="E62" s="48" t="str">
        <f t="shared" si="1"/>
        <v/>
      </c>
      <c r="F62" s="49" t="str">
        <f t="shared" si="48"/>
        <v>SOM</v>
      </c>
    </row>
    <row r="63" spans="1:6" ht="15.75" thickBot="1" x14ac:dyDescent="0.3">
      <c r="A63" s="36" t="s">
        <v>97</v>
      </c>
      <c r="B63" s="36">
        <v>50</v>
      </c>
      <c r="C63" s="53" t="s">
        <v>89</v>
      </c>
      <c r="D63" s="99"/>
      <c r="E63" s="48" t="str">
        <f t="shared" si="1"/>
        <v/>
      </c>
      <c r="F63" s="49" t="str">
        <f t="shared" si="48"/>
        <v>FOB</v>
      </c>
    </row>
    <row r="64" spans="1:6" ht="15.75" thickBot="1" x14ac:dyDescent="0.3">
      <c r="A64" s="36" t="s">
        <v>92</v>
      </c>
      <c r="B64" s="36">
        <v>51</v>
      </c>
      <c r="C64" s="58" t="s">
        <v>48</v>
      </c>
      <c r="D64" s="99"/>
      <c r="E64" s="48" t="str">
        <f t="shared" si="1"/>
        <v/>
      </c>
      <c r="F64" s="49" t="str">
        <f t="shared" si="48"/>
        <v>OBS</v>
      </c>
    </row>
    <row r="65" spans="1:6" ht="15.75" thickBot="1" x14ac:dyDescent="0.3">
      <c r="A65" s="36" t="s">
        <v>91</v>
      </c>
      <c r="B65" s="36">
        <v>52</v>
      </c>
      <c r="C65" s="53" t="s">
        <v>49</v>
      </c>
      <c r="D65" s="99"/>
      <c r="E65" s="48" t="str">
        <f t="shared" si="1"/>
        <v/>
      </c>
      <c r="F65" s="49" t="str">
        <f t="shared" si="48"/>
        <v>SOM</v>
      </c>
    </row>
    <row r="66" spans="1:6" ht="15.75" thickBot="1" x14ac:dyDescent="0.3">
      <c r="A66" s="36" t="s">
        <v>91</v>
      </c>
      <c r="B66" s="36">
        <v>53</v>
      </c>
      <c r="C66" s="58" t="s">
        <v>50</v>
      </c>
      <c r="D66" s="99"/>
      <c r="E66" s="48" t="str">
        <f t="shared" si="1"/>
        <v/>
      </c>
      <c r="F66" s="49" t="str">
        <f t="shared" si="48"/>
        <v>SOM</v>
      </c>
    </row>
    <row r="67" spans="1:6" ht="15.75" thickBot="1" x14ac:dyDescent="0.3">
      <c r="A67" s="36" t="s">
        <v>94</v>
      </c>
      <c r="B67" s="36">
        <v>54</v>
      </c>
      <c r="C67" s="53" t="s">
        <v>51</v>
      </c>
      <c r="D67" s="99"/>
      <c r="E67" s="48" t="str">
        <f t="shared" si="1"/>
        <v/>
      </c>
      <c r="F67" s="49" t="str">
        <f t="shared" si="48"/>
        <v>DEP</v>
      </c>
    </row>
    <row r="68" spans="1:6" ht="15.75" thickBot="1" x14ac:dyDescent="0.3">
      <c r="A68" s="36" t="s">
        <v>92</v>
      </c>
      <c r="B68" s="36">
        <v>55</v>
      </c>
      <c r="C68" s="58" t="s">
        <v>52</v>
      </c>
      <c r="D68" s="99"/>
      <c r="E68" s="48" t="str">
        <f t="shared" si="1"/>
        <v/>
      </c>
      <c r="F68" s="49" t="str">
        <f t="shared" si="48"/>
        <v>OBS</v>
      </c>
    </row>
    <row r="69" spans="1:6" ht="15.75" thickBot="1" x14ac:dyDescent="0.3">
      <c r="A69" s="36" t="s">
        <v>91</v>
      </c>
      <c r="B69" s="36">
        <v>56</v>
      </c>
      <c r="C69" s="53" t="s">
        <v>53</v>
      </c>
      <c r="D69" s="99"/>
      <c r="E69" s="48" t="str">
        <f t="shared" si="1"/>
        <v/>
      </c>
      <c r="F69" s="49" t="str">
        <f t="shared" si="48"/>
        <v>SOM</v>
      </c>
    </row>
    <row r="70" spans="1:6" ht="15.75" thickBot="1" x14ac:dyDescent="0.3">
      <c r="A70" s="36" t="s">
        <v>95</v>
      </c>
      <c r="B70" s="36">
        <v>57</v>
      </c>
      <c r="C70" s="58" t="s">
        <v>54</v>
      </c>
      <c r="D70" s="99"/>
      <c r="E70" s="48" t="str">
        <f t="shared" si="1"/>
        <v/>
      </c>
      <c r="F70" s="49" t="str">
        <f t="shared" si="48"/>
        <v>ANS</v>
      </c>
    </row>
    <row r="71" spans="1:6" ht="15.75" thickBot="1" x14ac:dyDescent="0.3">
      <c r="A71" s="36" t="s">
        <v>91</v>
      </c>
      <c r="B71" s="36">
        <v>58</v>
      </c>
      <c r="C71" s="53" t="s">
        <v>55</v>
      </c>
      <c r="D71" s="99"/>
      <c r="E71" s="48" t="str">
        <f t="shared" si="1"/>
        <v/>
      </c>
      <c r="F71" s="49" t="str">
        <f t="shared" si="48"/>
        <v>SOM</v>
      </c>
    </row>
    <row r="72" spans="1:6" ht="15.75" thickBot="1" x14ac:dyDescent="0.3">
      <c r="A72" s="36" t="s">
        <v>100</v>
      </c>
      <c r="B72" s="36">
        <v>59</v>
      </c>
      <c r="C72" s="58" t="s">
        <v>56</v>
      </c>
      <c r="D72" s="99"/>
      <c r="E72" s="48" t="str">
        <f t="shared" si="1"/>
        <v/>
      </c>
      <c r="F72" s="49" t="str">
        <f t="shared" si="48"/>
        <v>Item Adicional</v>
      </c>
    </row>
    <row r="73" spans="1:6" ht="15.75" thickBot="1" x14ac:dyDescent="0.3">
      <c r="A73" s="36" t="s">
        <v>100</v>
      </c>
      <c r="B73" s="36">
        <v>60</v>
      </c>
      <c r="C73" s="53" t="s">
        <v>57</v>
      </c>
      <c r="D73" s="99"/>
      <c r="E73" s="48" t="str">
        <f t="shared" si="1"/>
        <v/>
      </c>
      <c r="F73" s="49" t="str">
        <f t="shared" si="48"/>
        <v>Item Adicional</v>
      </c>
    </row>
    <row r="74" spans="1:6" ht="15.75" thickBot="1" x14ac:dyDescent="0.3">
      <c r="A74" s="36" t="s">
        <v>93</v>
      </c>
      <c r="B74" s="36">
        <v>61</v>
      </c>
      <c r="C74" s="58" t="s">
        <v>58</v>
      </c>
      <c r="D74" s="99"/>
      <c r="E74" s="48" t="str">
        <f t="shared" si="1"/>
        <v/>
      </c>
      <c r="F74" s="49" t="str">
        <f t="shared" si="48"/>
        <v>S.I</v>
      </c>
    </row>
    <row r="75" spans="1:6" ht="15.75" thickBot="1" x14ac:dyDescent="0.3">
      <c r="A75" s="36" t="s">
        <v>99</v>
      </c>
      <c r="B75" s="36">
        <v>62</v>
      </c>
      <c r="C75" s="53" t="s">
        <v>59</v>
      </c>
      <c r="D75" s="99"/>
      <c r="E75" s="48" t="str">
        <f t="shared" si="1"/>
        <v/>
      </c>
      <c r="F75" s="49" t="str">
        <f t="shared" si="48"/>
        <v>PSIC</v>
      </c>
    </row>
    <row r="76" spans="1:6" ht="15.75" thickBot="1" x14ac:dyDescent="0.3">
      <c r="A76" s="36" t="s">
        <v>96</v>
      </c>
      <c r="B76" s="36">
        <v>63</v>
      </c>
      <c r="C76" s="58" t="s">
        <v>60</v>
      </c>
      <c r="D76" s="99"/>
      <c r="E76" s="48" t="str">
        <f t="shared" si="1"/>
        <v/>
      </c>
      <c r="F76" s="49" t="str">
        <f t="shared" si="48"/>
        <v>HOS</v>
      </c>
    </row>
    <row r="77" spans="1:6" ht="15.75" thickBot="1" x14ac:dyDescent="0.3">
      <c r="A77" s="36" t="s">
        <v>100</v>
      </c>
      <c r="B77" s="36">
        <v>64</v>
      </c>
      <c r="C77" s="53" t="s">
        <v>61</v>
      </c>
      <c r="D77" s="99"/>
      <c r="E77" s="48" t="str">
        <f t="shared" si="1"/>
        <v/>
      </c>
      <c r="F77" s="49" t="str">
        <f t="shared" si="48"/>
        <v>Item Adicional</v>
      </c>
    </row>
    <row r="78" spans="1:6" ht="15.75" thickBot="1" x14ac:dyDescent="0.3">
      <c r="A78" s="36" t="s">
        <v>92</v>
      </c>
      <c r="B78" s="36">
        <v>65</v>
      </c>
      <c r="C78" s="58" t="s">
        <v>62</v>
      </c>
      <c r="D78" s="99"/>
      <c r="E78" s="48" t="str">
        <f t="shared" si="1"/>
        <v/>
      </c>
      <c r="F78" s="49" t="str">
        <f t="shared" ref="F78:F103" si="49">IF(D78="",A78,"")</f>
        <v>OBS</v>
      </c>
    </row>
    <row r="79" spans="1:6" ht="15.75" thickBot="1" x14ac:dyDescent="0.3">
      <c r="A79" s="36" t="s">
        <v>100</v>
      </c>
      <c r="B79" s="36">
        <v>66</v>
      </c>
      <c r="C79" s="53" t="s">
        <v>63</v>
      </c>
      <c r="D79" s="99"/>
      <c r="E79" s="48" t="str">
        <f t="shared" ref="E79:E104" si="50">IF(D79="a",0,IF(D79="b",1,IF(D79="c",2,IF(D79="d",3,IF(D79="e",4,"")))))</f>
        <v/>
      </c>
      <c r="F79" s="49" t="str">
        <f t="shared" si="49"/>
        <v>Item Adicional</v>
      </c>
    </row>
    <row r="80" spans="1:6" ht="15.75" thickBot="1" x14ac:dyDescent="0.3">
      <c r="A80" s="36" t="s">
        <v>96</v>
      </c>
      <c r="B80" s="36">
        <v>67</v>
      </c>
      <c r="C80" s="58" t="s">
        <v>64</v>
      </c>
      <c r="D80" s="99"/>
      <c r="E80" s="48" t="str">
        <f t="shared" si="50"/>
        <v/>
      </c>
      <c r="F80" s="49" t="str">
        <f t="shared" si="49"/>
        <v>HOS</v>
      </c>
    </row>
    <row r="81" spans="1:6" ht="15.75" thickBot="1" x14ac:dyDescent="0.3">
      <c r="A81" s="36" t="s">
        <v>98</v>
      </c>
      <c r="B81" s="36">
        <v>68</v>
      </c>
      <c r="C81" s="53" t="s">
        <v>65</v>
      </c>
      <c r="D81" s="99"/>
      <c r="E81" s="48" t="str">
        <f t="shared" si="50"/>
        <v/>
      </c>
      <c r="F81" s="49" t="str">
        <f t="shared" si="49"/>
        <v>PAR</v>
      </c>
    </row>
    <row r="82" spans="1:6" ht="15.75" thickBot="1" x14ac:dyDescent="0.3">
      <c r="A82" s="36" t="s">
        <v>93</v>
      </c>
      <c r="B82" s="36">
        <v>69</v>
      </c>
      <c r="C82" s="58" t="s">
        <v>66</v>
      </c>
      <c r="D82" s="99"/>
      <c r="E82" s="48" t="str">
        <f t="shared" si="50"/>
        <v/>
      </c>
      <c r="F82" s="49" t="str">
        <f t="shared" si="49"/>
        <v>S.I</v>
      </c>
    </row>
    <row r="83" spans="1:6" ht="15.75" thickBot="1" x14ac:dyDescent="0.3">
      <c r="A83" s="36" t="s">
        <v>97</v>
      </c>
      <c r="B83" s="36">
        <v>70</v>
      </c>
      <c r="C83" s="53" t="s">
        <v>67</v>
      </c>
      <c r="D83" s="99"/>
      <c r="E83" s="48" t="str">
        <f t="shared" si="50"/>
        <v/>
      </c>
      <c r="F83" s="49" t="str">
        <f t="shared" si="49"/>
        <v>FOB</v>
      </c>
    </row>
    <row r="84" spans="1:6" ht="15.75" thickBot="1" x14ac:dyDescent="0.3">
      <c r="A84" s="36" t="s">
        <v>94</v>
      </c>
      <c r="B84" s="36">
        <v>71</v>
      </c>
      <c r="C84" s="58" t="s">
        <v>68</v>
      </c>
      <c r="D84" s="99"/>
      <c r="E84" s="48" t="str">
        <f t="shared" si="50"/>
        <v/>
      </c>
      <c r="F84" s="49" t="str">
        <f t="shared" si="49"/>
        <v>DEP</v>
      </c>
    </row>
    <row r="85" spans="1:6" ht="15.75" thickBot="1" x14ac:dyDescent="0.3">
      <c r="A85" s="36" t="s">
        <v>95</v>
      </c>
      <c r="B85" s="36">
        <v>72</v>
      </c>
      <c r="C85" s="53" t="s">
        <v>69</v>
      </c>
      <c r="D85" s="99"/>
      <c r="E85" s="48" t="str">
        <f t="shared" si="50"/>
        <v/>
      </c>
      <c r="F85" s="49" t="str">
        <f t="shared" si="49"/>
        <v>ANS</v>
      </c>
    </row>
    <row r="86" spans="1:6" ht="15.75" thickBot="1" x14ac:dyDescent="0.3">
      <c r="A86" s="36" t="s">
        <v>93</v>
      </c>
      <c r="B86" s="36">
        <v>73</v>
      </c>
      <c r="C86" s="58" t="s">
        <v>70</v>
      </c>
      <c r="D86" s="99"/>
      <c r="E86" s="48" t="str">
        <f t="shared" si="50"/>
        <v/>
      </c>
      <c r="F86" s="49" t="str">
        <f t="shared" si="49"/>
        <v>S.I</v>
      </c>
    </row>
    <row r="87" spans="1:6" ht="15.75" thickBot="1" x14ac:dyDescent="0.3">
      <c r="A87" s="36" t="s">
        <v>96</v>
      </c>
      <c r="B87" s="36">
        <v>74</v>
      </c>
      <c r="C87" s="53" t="s">
        <v>71</v>
      </c>
      <c r="D87" s="99"/>
      <c r="E87" s="48" t="str">
        <f t="shared" si="50"/>
        <v/>
      </c>
      <c r="F87" s="49" t="str">
        <f t="shared" si="49"/>
        <v>HOS</v>
      </c>
    </row>
    <row r="88" spans="1:6" ht="15.75" thickBot="1" x14ac:dyDescent="0.3">
      <c r="A88" s="36" t="s">
        <v>97</v>
      </c>
      <c r="B88" s="36">
        <v>75</v>
      </c>
      <c r="C88" s="58" t="s">
        <v>72</v>
      </c>
      <c r="D88" s="99"/>
      <c r="E88" s="48" t="str">
        <f t="shared" si="50"/>
        <v/>
      </c>
      <c r="F88" s="49" t="str">
        <f t="shared" si="49"/>
        <v>FOB</v>
      </c>
    </row>
    <row r="89" spans="1:6" ht="15.75" thickBot="1" x14ac:dyDescent="0.3">
      <c r="A89" s="36" t="s">
        <v>98</v>
      </c>
      <c r="B89" s="36">
        <v>76</v>
      </c>
      <c r="C89" s="53" t="s">
        <v>73</v>
      </c>
      <c r="D89" s="99"/>
      <c r="E89" s="48" t="str">
        <f t="shared" si="50"/>
        <v/>
      </c>
      <c r="F89" s="49" t="str">
        <f t="shared" si="49"/>
        <v>PAR</v>
      </c>
    </row>
    <row r="90" spans="1:6" ht="15.75" thickBot="1" x14ac:dyDescent="0.3">
      <c r="A90" s="36" t="s">
        <v>99</v>
      </c>
      <c r="B90" s="36">
        <v>77</v>
      </c>
      <c r="C90" s="58" t="s">
        <v>74</v>
      </c>
      <c r="D90" s="99"/>
      <c r="E90" s="48" t="str">
        <f t="shared" si="50"/>
        <v/>
      </c>
      <c r="F90" s="49" t="str">
        <f t="shared" si="49"/>
        <v>PSIC</v>
      </c>
    </row>
    <row r="91" spans="1:6" ht="15.75" thickBot="1" x14ac:dyDescent="0.3">
      <c r="A91" s="36" t="s">
        <v>95</v>
      </c>
      <c r="B91" s="36">
        <v>78</v>
      </c>
      <c r="C91" s="53" t="s">
        <v>75</v>
      </c>
      <c r="D91" s="99"/>
      <c r="E91" s="48" t="str">
        <f t="shared" si="50"/>
        <v/>
      </c>
      <c r="F91" s="49" t="str">
        <f t="shared" si="49"/>
        <v>ANS</v>
      </c>
    </row>
    <row r="92" spans="1:6" ht="15.75" thickBot="1" x14ac:dyDescent="0.3">
      <c r="A92" s="36" t="s">
        <v>94</v>
      </c>
      <c r="B92" s="36">
        <v>79</v>
      </c>
      <c r="C92" s="58" t="s">
        <v>76</v>
      </c>
      <c r="D92" s="99"/>
      <c r="E92" s="48" t="str">
        <f t="shared" si="50"/>
        <v/>
      </c>
      <c r="F92" s="49" t="str">
        <f t="shared" si="49"/>
        <v>DEP</v>
      </c>
    </row>
    <row r="93" spans="1:6" ht="15.75" thickBot="1" x14ac:dyDescent="0.3">
      <c r="A93" s="36" t="s">
        <v>95</v>
      </c>
      <c r="B93" s="36">
        <v>80</v>
      </c>
      <c r="C93" s="53" t="s">
        <v>77</v>
      </c>
      <c r="D93" s="99"/>
      <c r="E93" s="48" t="str">
        <f t="shared" si="50"/>
        <v/>
      </c>
      <c r="F93" s="49" t="str">
        <f t="shared" si="49"/>
        <v>ANS</v>
      </c>
    </row>
    <row r="94" spans="1:6" ht="15.75" thickBot="1" x14ac:dyDescent="0.3">
      <c r="A94" s="36" t="s">
        <v>96</v>
      </c>
      <c r="B94" s="36">
        <v>81</v>
      </c>
      <c r="C94" s="58" t="s">
        <v>78</v>
      </c>
      <c r="D94" s="99"/>
      <c r="E94" s="48" t="str">
        <f t="shared" si="50"/>
        <v/>
      </c>
      <c r="F94" s="49" t="str">
        <f t="shared" si="49"/>
        <v>HOS</v>
      </c>
    </row>
    <row r="95" spans="1:6" ht="15.75" thickBot="1" x14ac:dyDescent="0.3">
      <c r="A95" s="36" t="s">
        <v>97</v>
      </c>
      <c r="B95" s="36">
        <v>82</v>
      </c>
      <c r="C95" s="53" t="s">
        <v>79</v>
      </c>
      <c r="D95" s="99"/>
      <c r="E95" s="48" t="str">
        <f t="shared" si="50"/>
        <v/>
      </c>
      <c r="F95" s="49" t="str">
        <f t="shared" si="49"/>
        <v>FOB</v>
      </c>
    </row>
    <row r="96" spans="1:6" ht="15.75" thickBot="1" x14ac:dyDescent="0.3">
      <c r="A96" s="36" t="s">
        <v>98</v>
      </c>
      <c r="B96" s="36">
        <v>83</v>
      </c>
      <c r="C96" s="58" t="s">
        <v>80</v>
      </c>
      <c r="D96" s="99"/>
      <c r="E96" s="48" t="str">
        <f t="shared" si="50"/>
        <v/>
      </c>
      <c r="F96" s="49" t="str">
        <f t="shared" si="49"/>
        <v>PAR</v>
      </c>
    </row>
    <row r="97" spans="1:14" ht="15.75" thickBot="1" x14ac:dyDescent="0.3">
      <c r="A97" s="36" t="s">
        <v>99</v>
      </c>
      <c r="B97" s="36">
        <v>84</v>
      </c>
      <c r="C97" s="53" t="s">
        <v>81</v>
      </c>
      <c r="D97" s="99"/>
      <c r="E97" s="48" t="str">
        <f t="shared" si="50"/>
        <v/>
      </c>
      <c r="F97" s="49" t="str">
        <f t="shared" si="49"/>
        <v>PSIC</v>
      </c>
    </row>
    <row r="98" spans="1:14" ht="15.75" thickBot="1" x14ac:dyDescent="0.3">
      <c r="A98" s="36" t="s">
        <v>99</v>
      </c>
      <c r="B98" s="36">
        <v>85</v>
      </c>
      <c r="C98" s="58" t="s">
        <v>82</v>
      </c>
      <c r="D98" s="99"/>
      <c r="E98" s="48" t="str">
        <f t="shared" si="50"/>
        <v/>
      </c>
      <c r="F98" s="49" t="str">
        <f t="shared" si="49"/>
        <v>PSIC</v>
      </c>
    </row>
    <row r="99" spans="1:14" ht="15.75" thickBot="1" x14ac:dyDescent="0.3">
      <c r="A99" s="36" t="s">
        <v>95</v>
      </c>
      <c r="B99" s="36">
        <v>86</v>
      </c>
      <c r="C99" s="53" t="s">
        <v>83</v>
      </c>
      <c r="D99" s="99"/>
      <c r="E99" s="48" t="str">
        <f t="shared" si="50"/>
        <v/>
      </c>
      <c r="F99" s="49" t="str">
        <f t="shared" si="49"/>
        <v>ANS</v>
      </c>
    </row>
    <row r="100" spans="1:14" ht="15.75" thickBot="1" x14ac:dyDescent="0.3">
      <c r="A100" s="36" t="s">
        <v>99</v>
      </c>
      <c r="B100" s="36">
        <v>87</v>
      </c>
      <c r="C100" s="58" t="s">
        <v>84</v>
      </c>
      <c r="D100" s="99"/>
      <c r="E100" s="48" t="str">
        <f t="shared" si="50"/>
        <v/>
      </c>
      <c r="F100" s="49" t="str">
        <f t="shared" si="49"/>
        <v>PSIC</v>
      </c>
    </row>
    <row r="101" spans="1:14" ht="15.75" thickBot="1" x14ac:dyDescent="0.3">
      <c r="A101" s="36" t="s">
        <v>99</v>
      </c>
      <c r="B101" s="36">
        <v>88</v>
      </c>
      <c r="C101" s="53" t="s">
        <v>85</v>
      </c>
      <c r="D101" s="99"/>
      <c r="E101" s="48" t="str">
        <f t="shared" si="50"/>
        <v/>
      </c>
      <c r="F101" s="49" t="str">
        <f t="shared" si="49"/>
        <v>PSIC</v>
      </c>
    </row>
    <row r="102" spans="1:14" ht="15.75" thickBot="1" x14ac:dyDescent="0.3">
      <c r="A102" s="36" t="s">
        <v>100</v>
      </c>
      <c r="B102" s="36">
        <v>89</v>
      </c>
      <c r="C102" s="58" t="s">
        <v>86</v>
      </c>
      <c r="D102" s="99"/>
      <c r="E102" s="48" t="str">
        <f t="shared" si="50"/>
        <v/>
      </c>
      <c r="F102" s="49" t="str">
        <f t="shared" si="49"/>
        <v>Item Adicional</v>
      </c>
    </row>
    <row r="103" spans="1:14" x14ac:dyDescent="0.25">
      <c r="A103" s="36" t="s">
        <v>99</v>
      </c>
      <c r="B103" s="36">
        <v>90</v>
      </c>
      <c r="C103" s="94" t="s">
        <v>87</v>
      </c>
      <c r="D103" s="99"/>
      <c r="E103" s="48" t="str">
        <f t="shared" si="50"/>
        <v/>
      </c>
      <c r="F103" s="49" t="str">
        <f t="shared" si="49"/>
        <v>PSIC</v>
      </c>
    </row>
    <row r="104" spans="1:14" x14ac:dyDescent="0.25">
      <c r="E104" s="36" t="str">
        <f t="shared" si="50"/>
        <v/>
      </c>
    </row>
    <row r="105" spans="1:14" ht="15.75" thickBot="1" x14ac:dyDescent="0.3"/>
    <row r="106" spans="1:14" ht="54" thickBot="1" x14ac:dyDescent="0.3">
      <c r="A106" s="96" t="s">
        <v>90</v>
      </c>
      <c r="B106" s="96" t="s">
        <v>259</v>
      </c>
      <c r="C106" s="96" t="s">
        <v>303</v>
      </c>
      <c r="D106" s="97" t="s">
        <v>276</v>
      </c>
      <c r="E106" s="97" t="s">
        <v>102</v>
      </c>
      <c r="I106" s="133" t="s">
        <v>285</v>
      </c>
      <c r="J106" s="134"/>
      <c r="K106" s="134"/>
      <c r="L106" s="134"/>
      <c r="M106" s="134"/>
      <c r="N106" s="135"/>
    </row>
    <row r="107" spans="1:14" ht="15.75" thickBot="1" x14ac:dyDescent="0.3">
      <c r="A107" s="98" t="s">
        <v>280</v>
      </c>
      <c r="B107" s="99">
        <v>1</v>
      </c>
      <c r="C107" s="121" t="s">
        <v>359</v>
      </c>
      <c r="D107" s="47" t="s">
        <v>420</v>
      </c>
      <c r="E107" s="47">
        <f>IF(D107="a",0,IF(D107="b",1,IF(D107="c",2,IF(D107="d",3,IF(D107="e",4,"")))))</f>
        <v>2</v>
      </c>
      <c r="I107" s="50" t="s">
        <v>280</v>
      </c>
      <c r="J107" s="51" t="s">
        <v>281</v>
      </c>
      <c r="K107" s="51" t="s">
        <v>282</v>
      </c>
      <c r="L107" s="51" t="s">
        <v>283</v>
      </c>
      <c r="M107" s="51" t="s">
        <v>284</v>
      </c>
      <c r="N107" s="51" t="s">
        <v>286</v>
      </c>
    </row>
    <row r="108" spans="1:14" x14ac:dyDescent="0.25">
      <c r="A108" s="98" t="s">
        <v>281</v>
      </c>
      <c r="B108" s="100">
        <v>2</v>
      </c>
      <c r="C108" s="120" t="s">
        <v>360</v>
      </c>
      <c r="D108" s="47" t="s">
        <v>421</v>
      </c>
      <c r="E108" s="47">
        <f>IF(D108="a",0,IF(D108="b",1,IF(D108="c",2,IF(D108="d",3,IF(D108="e",4,"")))))</f>
        <v>3</v>
      </c>
      <c r="H108" s="54" t="s">
        <v>104</v>
      </c>
      <c r="I108" s="55">
        <f>SUMIF($A$107:$A$166,"N",$E$107:$E$166)</f>
        <v>22</v>
      </c>
      <c r="J108" s="55">
        <f>SUMIF($A$107:$A$166,"E",$E$107:$E$166)</f>
        <v>27</v>
      </c>
      <c r="K108" s="55">
        <f>SUMIF($A$107:$A$166,"O",$E$107:$E$166)</f>
        <v>29</v>
      </c>
      <c r="L108" s="55">
        <f>SUMIF($A$107:$A$166,"A",$E$107:$E$166)</f>
        <v>36</v>
      </c>
      <c r="M108" s="55">
        <f>SUMIF($A$107:$A$166,"C",$E$107:$E$166)</f>
        <v>30</v>
      </c>
      <c r="N108" s="55">
        <f>COUNTIF($E$107:$E$166,"")</f>
        <v>0</v>
      </c>
    </row>
    <row r="109" spans="1:14" ht="15.75" thickBot="1" x14ac:dyDescent="0.3">
      <c r="A109" s="98" t="s">
        <v>282</v>
      </c>
      <c r="B109" s="36">
        <v>3</v>
      </c>
      <c r="C109" s="121" t="s">
        <v>361</v>
      </c>
      <c r="D109" s="47" t="s">
        <v>421</v>
      </c>
      <c r="E109" s="101">
        <f>IF(D109="a",0,IF(D109="b",1,IF(D109="c",2,IF(D109="d",3,IF(D109="e",4,"")))))</f>
        <v>3</v>
      </c>
      <c r="H109" s="59" t="s">
        <v>105</v>
      </c>
      <c r="I109" s="63">
        <f>VLOOKUP(I108,I114:$N197,6,FALSE)</f>
        <v>61</v>
      </c>
      <c r="J109" s="63">
        <f>VLOOKUP(J108,J114:$N197,5,FALSE)</f>
        <v>43</v>
      </c>
      <c r="K109" s="63">
        <f>VLOOKUP(K108,K114:$N197,4,FALSE)</f>
        <v>52</v>
      </c>
      <c r="L109" s="63">
        <f>VLOOKUP(L108,L114:$N197,3,FALSE)</f>
        <v>59</v>
      </c>
      <c r="M109" s="63">
        <f>VLOOKUP(M108,M114:$N197,2,FALSE)</f>
        <v>41</v>
      </c>
      <c r="N109" s="64"/>
    </row>
    <row r="110" spans="1:14" ht="15.75" thickBot="1" x14ac:dyDescent="0.3">
      <c r="A110" s="98" t="s">
        <v>283</v>
      </c>
      <c r="B110" s="36">
        <v>4</v>
      </c>
      <c r="C110" s="120" t="s">
        <v>362</v>
      </c>
      <c r="D110" s="47" t="s">
        <v>420</v>
      </c>
      <c r="E110" s="48">
        <f>IF(D110="a",0,IF(D110="b",1,IF(D110="c",2,IF(D110="d",3,IF(D110="e",4,"")))))</f>
        <v>2</v>
      </c>
      <c r="H110" s="66" t="s">
        <v>296</v>
      </c>
      <c r="I110" s="63" t="str">
        <f>IF(I109&lt;35,"Muy Bajo",IF(AND(I109&gt;=35,I109&lt;45),"Bajo",IF(AND(I109&gt;=45,I109&lt;55),"Medio",IF(AND(I109&gt;=55,I109&lt;65),"Alto",IF(I109&gt;=65,"Muy Alto","")))))</f>
        <v>Alto</v>
      </c>
      <c r="J110" s="63" t="str">
        <f>IF(J109&lt;35,"Muy Bajo",IF(AND(J109&gt;=35,J109&lt;45),"Bajo",IF(AND(J109&gt;=45,J109&lt;55),"Medio",IF(AND(J109&gt;=55,J109&lt;65),"Alto",IF(J109&gt;=65,"Muy Alto","")))))</f>
        <v>Bajo</v>
      </c>
      <c r="K110" s="63" t="str">
        <f>IF(K109&lt;35,"Muy Bajo",IF(AND(K109&gt;=35,K109&lt;45),"Bajo",IF(AND(K109&gt;=45,K109&lt;55),"Medio",IF(AND(K109&gt;=55,K109&lt;65),"Alto",IF(K109&gt;=65,"Muy Alto","")))))</f>
        <v>Medio</v>
      </c>
      <c r="L110" s="63" t="str">
        <f>IF(L109&lt;35,"Muy Bajo",IF(AND(L109&gt;=35,L109&lt;45),"Bajo",IF(AND(L109&gt;=45,L109&lt;55),"Medio",IF(AND(L109&gt;=55,L109&lt;65),"Alto",IF(L109&gt;=65,"Muy Alto","")))))</f>
        <v>Alto</v>
      </c>
      <c r="M110" s="63" t="str">
        <f>IF(M109&lt;35,"Muy Bajo",IF(AND(M109&gt;=35,M109&lt;45),"Bajo",IF(AND(M109&gt;=45,M109&lt;55),"Medio",IF(AND(M109&gt;=55,M109&lt;65),"Alto",IF(M109&gt;=65,"Muy Alto","")))))</f>
        <v>Bajo</v>
      </c>
      <c r="N110" s="64"/>
    </row>
    <row r="111" spans="1:14" ht="15.75" thickBot="1" x14ac:dyDescent="0.3">
      <c r="A111" s="98" t="s">
        <v>284</v>
      </c>
      <c r="B111" s="36">
        <v>5</v>
      </c>
      <c r="C111" s="121" t="s">
        <v>363</v>
      </c>
      <c r="D111" s="47" t="s">
        <v>421</v>
      </c>
      <c r="E111" s="48">
        <f>IF(D111="a",4,IF(D111="b",3,IF(D111="c",2,IF(D111="d",1,IF(D111="e",0,"")))))</f>
        <v>1</v>
      </c>
    </row>
    <row r="112" spans="1:14" ht="15.75" thickBot="1" x14ac:dyDescent="0.3">
      <c r="A112" s="98" t="s">
        <v>280</v>
      </c>
      <c r="B112" s="36">
        <v>6</v>
      </c>
      <c r="C112" s="120" t="s">
        <v>364</v>
      </c>
      <c r="D112" s="47" t="s">
        <v>422</v>
      </c>
      <c r="E112" s="48">
        <f>IF(D112="a",4,IF(D112="b",3,IF(D112="c",2,IF(D112="d",1,IF(D112="e",0,"")))))</f>
        <v>3</v>
      </c>
      <c r="I112" s="133" t="s">
        <v>294</v>
      </c>
      <c r="J112" s="134"/>
      <c r="K112" s="134"/>
      <c r="L112" s="134"/>
      <c r="M112" s="135"/>
    </row>
    <row r="113" spans="1:14" ht="15.75" thickBot="1" x14ac:dyDescent="0.3">
      <c r="A113" s="98" t="s">
        <v>281</v>
      </c>
      <c r="B113" s="36">
        <v>7</v>
      </c>
      <c r="C113" s="121" t="s">
        <v>365</v>
      </c>
      <c r="D113" s="47" t="s">
        <v>421</v>
      </c>
      <c r="E113" s="48">
        <f>IF(D113="a",0,IF(D113="b",1,IF(D113="c",2,IF(D113="d",3,IF(D113="e",4,"")))))</f>
        <v>3</v>
      </c>
      <c r="H113" s="102" t="s">
        <v>105</v>
      </c>
      <c r="I113" s="70" t="s">
        <v>280</v>
      </c>
      <c r="J113" s="71" t="s">
        <v>281</v>
      </c>
      <c r="K113" s="71" t="s">
        <v>282</v>
      </c>
      <c r="L113" s="71" t="s">
        <v>283</v>
      </c>
      <c r="M113" s="72" t="s">
        <v>284</v>
      </c>
      <c r="N113" s="102" t="s">
        <v>105</v>
      </c>
    </row>
    <row r="114" spans="1:14" ht="15.75" thickBot="1" x14ac:dyDescent="0.3">
      <c r="A114" s="98" t="s">
        <v>282</v>
      </c>
      <c r="B114" s="36">
        <v>8</v>
      </c>
      <c r="C114" s="120" t="s">
        <v>366</v>
      </c>
      <c r="D114" s="47" t="s">
        <v>420</v>
      </c>
      <c r="E114" s="48">
        <f>IF(D114="a",4,IF(D114="b",3,IF(D114="c",2,IF(D114="d",1,IF(D114="e",0,"")))))</f>
        <v>2</v>
      </c>
      <c r="H114" s="103">
        <v>75</v>
      </c>
      <c r="I114" s="104">
        <v>48</v>
      </c>
      <c r="J114" s="104">
        <v>48</v>
      </c>
      <c r="K114" s="104">
        <v>48</v>
      </c>
      <c r="L114" s="104">
        <v>48</v>
      </c>
      <c r="M114" s="104">
        <v>48</v>
      </c>
      <c r="N114" s="103">
        <v>75</v>
      </c>
    </row>
    <row r="115" spans="1:14" ht="15.75" thickBot="1" x14ac:dyDescent="0.3">
      <c r="A115" s="98" t="s">
        <v>283</v>
      </c>
      <c r="B115" s="36">
        <v>9</v>
      </c>
      <c r="C115" s="121" t="s">
        <v>367</v>
      </c>
      <c r="D115" s="47" t="s">
        <v>423</v>
      </c>
      <c r="E115" s="48">
        <f>IF(D115="a",4,IF(D115="b",3,IF(D115="c",2,IF(D115="d",1,IF(D115="e",0,"")))))</f>
        <v>4</v>
      </c>
      <c r="H115" s="104">
        <v>75</v>
      </c>
      <c r="I115" s="104">
        <v>47</v>
      </c>
      <c r="J115" s="104">
        <v>47</v>
      </c>
      <c r="K115" s="104">
        <v>47</v>
      </c>
      <c r="L115" s="104">
        <v>47</v>
      </c>
      <c r="M115" s="104"/>
      <c r="N115" s="104">
        <v>75</v>
      </c>
    </row>
    <row r="116" spans="1:14" ht="15.75" thickBot="1" x14ac:dyDescent="0.3">
      <c r="A116" s="98" t="s">
        <v>284</v>
      </c>
      <c r="B116" s="36">
        <v>10</v>
      </c>
      <c r="C116" s="120" t="s">
        <v>368</v>
      </c>
      <c r="D116" s="47" t="s">
        <v>421</v>
      </c>
      <c r="E116" s="48">
        <f>IF(D116="a",0,IF(D116="b",1,IF(D116="c",2,IF(D116="d",3,IF(D116="e",4,"")))))</f>
        <v>3</v>
      </c>
      <c r="H116" s="104">
        <v>75</v>
      </c>
      <c r="I116" s="104">
        <v>46</v>
      </c>
      <c r="J116" s="104">
        <v>46</v>
      </c>
      <c r="K116" s="104">
        <v>46</v>
      </c>
      <c r="L116" s="104">
        <v>46</v>
      </c>
      <c r="M116" s="104"/>
      <c r="N116" s="104">
        <v>75</v>
      </c>
    </row>
    <row r="117" spans="1:14" ht="15.75" thickBot="1" x14ac:dyDescent="0.3">
      <c r="A117" s="98" t="s">
        <v>280</v>
      </c>
      <c r="B117" s="36">
        <v>11</v>
      </c>
      <c r="C117" s="121" t="s">
        <v>369</v>
      </c>
      <c r="D117" s="47" t="s">
        <v>423</v>
      </c>
      <c r="E117" s="48">
        <f>IF(D117="a",0,IF(D117="b",1,IF(D117="c",2,IF(D117="d",3,IF(D117="e",4,"")))))</f>
        <v>0</v>
      </c>
      <c r="H117" s="104">
        <v>75</v>
      </c>
      <c r="I117" s="104">
        <v>45</v>
      </c>
      <c r="J117" s="104"/>
      <c r="K117" s="104">
        <v>45</v>
      </c>
      <c r="L117" s="104"/>
      <c r="M117" s="104"/>
      <c r="N117" s="104">
        <v>75</v>
      </c>
    </row>
    <row r="118" spans="1:14" ht="15.75" thickBot="1" x14ac:dyDescent="0.3">
      <c r="A118" s="98" t="s">
        <v>281</v>
      </c>
      <c r="B118" s="36">
        <v>12</v>
      </c>
      <c r="C118" s="120" t="s">
        <v>370</v>
      </c>
      <c r="D118" s="47" t="s">
        <v>420</v>
      </c>
      <c r="E118" s="48">
        <f>IF(D118="a",0,IF(D118="b",1,IF(D118="c",2,IF(D118="d",3,IF(D118="e",4,"")))))</f>
        <v>2</v>
      </c>
      <c r="H118" s="104">
        <v>75</v>
      </c>
      <c r="I118" s="104">
        <v>44</v>
      </c>
      <c r="J118" s="104"/>
      <c r="K118" s="104">
        <v>44</v>
      </c>
      <c r="L118" s="104"/>
      <c r="M118" s="104"/>
      <c r="N118" s="104">
        <v>75</v>
      </c>
    </row>
    <row r="119" spans="1:14" ht="15.75" thickBot="1" x14ac:dyDescent="0.3">
      <c r="A119" s="98" t="s">
        <v>282</v>
      </c>
      <c r="B119" s="36">
        <v>13</v>
      </c>
      <c r="C119" s="121" t="s">
        <v>371</v>
      </c>
      <c r="D119" s="47" t="s">
        <v>421</v>
      </c>
      <c r="E119" s="48">
        <f>IF(D119="a",0,IF(D119="b",1,IF(D119="c",2,IF(D119="d",3,IF(D119="e",4,"")))))</f>
        <v>3</v>
      </c>
      <c r="H119" s="104">
        <v>75</v>
      </c>
      <c r="I119" s="104">
        <v>43</v>
      </c>
      <c r="J119" s="104"/>
      <c r="K119" s="104"/>
      <c r="L119" s="104"/>
      <c r="M119" s="104"/>
      <c r="N119" s="104">
        <v>75</v>
      </c>
    </row>
    <row r="120" spans="1:14" ht="15.75" thickBot="1" x14ac:dyDescent="0.3">
      <c r="A120" s="98" t="s">
        <v>283</v>
      </c>
      <c r="B120" s="36">
        <v>14</v>
      </c>
      <c r="C120" s="120" t="s">
        <v>372</v>
      </c>
      <c r="D120" s="47" t="s">
        <v>423</v>
      </c>
      <c r="E120" s="48">
        <f>IF(D120="a",4,IF(D120="b",3,IF(D120="c",2,IF(D120="d",1,IF(D120="e",0,"")))))</f>
        <v>4</v>
      </c>
      <c r="H120" s="104">
        <v>75</v>
      </c>
      <c r="I120" s="104">
        <v>42</v>
      </c>
      <c r="J120" s="104"/>
      <c r="K120" s="104"/>
      <c r="L120" s="104"/>
      <c r="M120" s="104"/>
      <c r="N120" s="104">
        <v>75</v>
      </c>
    </row>
    <row r="121" spans="1:14" ht="15.75" thickBot="1" x14ac:dyDescent="0.3">
      <c r="A121" s="98" t="s">
        <v>284</v>
      </c>
      <c r="B121" s="36">
        <v>15</v>
      </c>
      <c r="C121" s="121" t="s">
        <v>373</v>
      </c>
      <c r="D121" s="47" t="s">
        <v>421</v>
      </c>
      <c r="E121" s="48">
        <f>IF(D121="a",0,IF(D121="b",1,IF(D121="c",2,IF(D121="d",3,IF(D121="e",4,"")))))</f>
        <v>3</v>
      </c>
      <c r="H121" s="104">
        <v>75</v>
      </c>
      <c r="I121" s="104">
        <v>41</v>
      </c>
      <c r="J121" s="104"/>
      <c r="K121" s="104"/>
      <c r="L121" s="104"/>
      <c r="M121" s="104"/>
      <c r="N121" s="104">
        <v>75</v>
      </c>
    </row>
    <row r="122" spans="1:14" ht="15.75" thickBot="1" x14ac:dyDescent="0.3">
      <c r="A122" s="98" t="s">
        <v>280</v>
      </c>
      <c r="B122" s="36">
        <v>16</v>
      </c>
      <c r="C122" s="120" t="s">
        <v>374</v>
      </c>
      <c r="D122" s="47" t="s">
        <v>420</v>
      </c>
      <c r="E122" s="48">
        <f>IF(D122="a",0,IF(D122="b",1,IF(D122="c",2,IF(D122="d",3,IF(D122="e",4,"")))))</f>
        <v>2</v>
      </c>
      <c r="H122" s="104">
        <v>75</v>
      </c>
      <c r="I122" s="104">
        <v>40</v>
      </c>
      <c r="J122" s="104"/>
      <c r="K122" s="104"/>
      <c r="L122" s="104"/>
      <c r="M122" s="104"/>
      <c r="N122" s="104">
        <v>75</v>
      </c>
    </row>
    <row r="123" spans="1:14" ht="15.75" thickBot="1" x14ac:dyDescent="0.3">
      <c r="A123" s="98" t="s">
        <v>281</v>
      </c>
      <c r="B123" s="36">
        <v>17</v>
      </c>
      <c r="C123" s="121" t="s">
        <v>375</v>
      </c>
      <c r="D123" s="47" t="s">
        <v>423</v>
      </c>
      <c r="E123" s="48">
        <f>IF(D123="a",4,IF(D123="b",3,IF(D123="c",2,IF(D123="d",1,IF(D123="e",0,"")))))</f>
        <v>4</v>
      </c>
      <c r="H123" s="104">
        <v>75</v>
      </c>
      <c r="I123" s="104">
        <v>39</v>
      </c>
      <c r="J123" s="104"/>
      <c r="K123" s="104"/>
      <c r="L123" s="104"/>
      <c r="M123" s="104"/>
      <c r="N123" s="104">
        <v>75</v>
      </c>
    </row>
    <row r="124" spans="1:14" ht="15.75" thickBot="1" x14ac:dyDescent="0.3">
      <c r="A124" s="98" t="s">
        <v>282</v>
      </c>
      <c r="B124" s="36">
        <v>18</v>
      </c>
      <c r="C124" s="120" t="s">
        <v>376</v>
      </c>
      <c r="D124" s="47" t="s">
        <v>421</v>
      </c>
      <c r="E124" s="48">
        <f>IF(D124="a",0,IF(D124="b",1,IF(D124="c",2,IF(D124="d",3,IF(D124="e",4,"")))))</f>
        <v>3</v>
      </c>
      <c r="H124" s="104">
        <v>75</v>
      </c>
      <c r="I124" s="104">
        <v>38</v>
      </c>
      <c r="J124" s="104"/>
      <c r="K124" s="104"/>
      <c r="L124" s="104"/>
      <c r="M124" s="104"/>
      <c r="N124" s="104">
        <v>75</v>
      </c>
    </row>
    <row r="125" spans="1:14" ht="15.75" thickBot="1" x14ac:dyDescent="0.3">
      <c r="A125" s="98" t="s">
        <v>283</v>
      </c>
      <c r="B125" s="36">
        <v>19</v>
      </c>
      <c r="C125" s="121" t="s">
        <v>377</v>
      </c>
      <c r="D125" s="47" t="s">
        <v>423</v>
      </c>
      <c r="E125" s="48">
        <f>IF(D125="a",4,IF(D125="b",3,IF(D125="c",2,IF(D125="d",1,IF(D125="e",0,"")))))</f>
        <v>4</v>
      </c>
      <c r="H125" s="104">
        <v>75</v>
      </c>
      <c r="I125" s="104">
        <v>37</v>
      </c>
      <c r="J125" s="104"/>
      <c r="K125" s="104"/>
      <c r="L125" s="104"/>
      <c r="M125" s="104"/>
      <c r="N125" s="104">
        <v>75</v>
      </c>
    </row>
    <row r="126" spans="1:14" ht="15.75" thickBot="1" x14ac:dyDescent="0.3">
      <c r="A126" s="98" t="s">
        <v>284</v>
      </c>
      <c r="B126" s="36">
        <v>20</v>
      </c>
      <c r="C126" s="120" t="s">
        <v>378</v>
      </c>
      <c r="D126" s="47" t="s">
        <v>420</v>
      </c>
      <c r="E126" s="48">
        <f>IF(D126="a",0,IF(D126="b",1,IF(D126="c",2,IF(D126="d",3,IF(D126="e",4,"")))))</f>
        <v>2</v>
      </c>
      <c r="H126" s="104">
        <v>75</v>
      </c>
      <c r="I126" s="104">
        <v>36</v>
      </c>
      <c r="J126" s="104"/>
      <c r="K126" s="104"/>
      <c r="L126" s="104"/>
      <c r="M126" s="104"/>
      <c r="N126" s="104">
        <v>75</v>
      </c>
    </row>
    <row r="127" spans="1:14" ht="15.75" thickBot="1" x14ac:dyDescent="0.3">
      <c r="A127" s="98" t="s">
        <v>280</v>
      </c>
      <c r="B127" s="36">
        <v>21</v>
      </c>
      <c r="C127" s="121" t="s">
        <v>379</v>
      </c>
      <c r="D127" s="47" t="s">
        <v>422</v>
      </c>
      <c r="E127" s="48">
        <f>IF(D127="a",0,IF(D127="b",1,IF(D127="c",2,IF(D127="d",3,IF(D127="e",4,"")))))</f>
        <v>1</v>
      </c>
      <c r="H127" s="104">
        <v>74</v>
      </c>
      <c r="I127" s="104"/>
      <c r="J127" s="104"/>
      <c r="K127" s="104"/>
      <c r="L127" s="104"/>
      <c r="M127" s="104"/>
      <c r="N127" s="104">
        <v>74</v>
      </c>
    </row>
    <row r="128" spans="1:14" ht="15.75" thickBot="1" x14ac:dyDescent="0.3">
      <c r="A128" s="98" t="s">
        <v>281</v>
      </c>
      <c r="B128" s="36">
        <v>22</v>
      </c>
      <c r="C128" s="120" t="s">
        <v>380</v>
      </c>
      <c r="D128" s="47" t="s">
        <v>420</v>
      </c>
      <c r="E128" s="48">
        <f>IF(D128="a",0,IF(D128="b",1,IF(D128="c",2,IF(D128="d",3,IF(D128="e",4,"")))))</f>
        <v>2</v>
      </c>
      <c r="H128" s="104">
        <v>73</v>
      </c>
      <c r="I128" s="104">
        <v>35</v>
      </c>
      <c r="J128" s="104">
        <v>45</v>
      </c>
      <c r="K128" s="104"/>
      <c r="L128" s="104"/>
      <c r="M128" s="104"/>
      <c r="N128" s="104">
        <v>73</v>
      </c>
    </row>
    <row r="129" spans="1:14" ht="15.75" thickBot="1" x14ac:dyDescent="0.3">
      <c r="A129" s="98" t="s">
        <v>282</v>
      </c>
      <c r="B129" s="36">
        <v>23</v>
      </c>
      <c r="C129" s="121" t="s">
        <v>381</v>
      </c>
      <c r="D129" s="47" t="s">
        <v>420</v>
      </c>
      <c r="E129" s="48">
        <f>IF(D129="a",4,IF(D129="b",3,IF(D129="c",2,IF(D129="d",1,IF(D129="e",0,"")))))</f>
        <v>2</v>
      </c>
      <c r="H129" s="104">
        <v>73</v>
      </c>
      <c r="I129" s="104">
        <v>34</v>
      </c>
      <c r="J129" s="104"/>
      <c r="K129" s="104">
        <v>43</v>
      </c>
      <c r="L129" s="104">
        <v>45</v>
      </c>
      <c r="M129" s="104"/>
      <c r="N129" s="104">
        <v>73</v>
      </c>
    </row>
    <row r="130" spans="1:14" ht="15.75" thickBot="1" x14ac:dyDescent="0.3">
      <c r="A130" s="98" t="s">
        <v>283</v>
      </c>
      <c r="B130" s="36">
        <v>24</v>
      </c>
      <c r="C130" s="120" t="s">
        <v>382</v>
      </c>
      <c r="D130" s="47" t="s">
        <v>422</v>
      </c>
      <c r="E130" s="48">
        <f>IF(D130="a",0,IF(D130="b",1,IF(D130="c",2,IF(D130="d",3,IF(D130="e",4,"")))))</f>
        <v>1</v>
      </c>
      <c r="H130" s="104">
        <v>72</v>
      </c>
      <c r="I130" s="104">
        <v>33</v>
      </c>
      <c r="J130" s="104"/>
      <c r="K130" s="104"/>
      <c r="L130" s="104"/>
      <c r="M130" s="104"/>
      <c r="N130" s="104">
        <v>72</v>
      </c>
    </row>
    <row r="131" spans="1:14" ht="15.75" thickBot="1" x14ac:dyDescent="0.3">
      <c r="A131" s="98" t="s">
        <v>284</v>
      </c>
      <c r="B131" s="36">
        <v>25</v>
      </c>
      <c r="C131" s="121" t="s">
        <v>383</v>
      </c>
      <c r="D131" s="47" t="s">
        <v>420</v>
      </c>
      <c r="E131" s="48">
        <f>IF(D131="a",0,IF(D131="b",1,IF(D131="c",2,IF(D131="d",3,IF(D131="e",4,"")))))</f>
        <v>2</v>
      </c>
      <c r="H131" s="104">
        <v>71</v>
      </c>
      <c r="I131" s="104">
        <v>32</v>
      </c>
      <c r="J131" s="104">
        <v>44</v>
      </c>
      <c r="K131" s="104">
        <v>42</v>
      </c>
      <c r="L131" s="104">
        <v>44</v>
      </c>
      <c r="M131" s="104">
        <v>47</v>
      </c>
      <c r="N131" s="104">
        <v>71</v>
      </c>
    </row>
    <row r="132" spans="1:14" ht="15.75" thickBot="1" x14ac:dyDescent="0.3">
      <c r="A132" s="98" t="s">
        <v>280</v>
      </c>
      <c r="B132" s="36">
        <v>26</v>
      </c>
      <c r="C132" s="120" t="s">
        <v>384</v>
      </c>
      <c r="D132" s="47" t="s">
        <v>423</v>
      </c>
      <c r="E132" s="48">
        <f>IF(D132="a",0,IF(D132="b",1,IF(D132="c",2,IF(D132="d",3,IF(D132="e",4,"")))))</f>
        <v>0</v>
      </c>
      <c r="H132" s="104">
        <v>70</v>
      </c>
      <c r="I132" s="104">
        <v>31</v>
      </c>
      <c r="J132" s="104"/>
      <c r="K132" s="104">
        <v>41</v>
      </c>
      <c r="L132" s="104"/>
      <c r="M132" s="104"/>
      <c r="N132" s="104">
        <v>70</v>
      </c>
    </row>
    <row r="133" spans="1:14" ht="15.75" thickBot="1" x14ac:dyDescent="0.3">
      <c r="A133" s="98" t="s">
        <v>281</v>
      </c>
      <c r="B133" s="36">
        <v>27</v>
      </c>
      <c r="C133" s="121" t="s">
        <v>385</v>
      </c>
      <c r="D133" s="47" t="s">
        <v>420</v>
      </c>
      <c r="E133" s="48">
        <f>IF(D133="a",4,IF(D133="b",3,IF(D133="c",2,IF(D133="d",1,IF(D133="e",0,"")))))</f>
        <v>2</v>
      </c>
      <c r="H133" s="104">
        <v>69</v>
      </c>
      <c r="I133" s="104">
        <v>30</v>
      </c>
      <c r="J133" s="104"/>
      <c r="K133" s="104"/>
      <c r="L133" s="104">
        <v>43</v>
      </c>
      <c r="M133" s="104"/>
      <c r="N133" s="104">
        <v>69</v>
      </c>
    </row>
    <row r="134" spans="1:14" ht="15.75" thickBot="1" x14ac:dyDescent="0.3">
      <c r="A134" s="98" t="s">
        <v>282</v>
      </c>
      <c r="B134" s="36">
        <v>28</v>
      </c>
      <c r="C134" s="120" t="s">
        <v>386</v>
      </c>
      <c r="D134" s="47" t="s">
        <v>423</v>
      </c>
      <c r="E134" s="48">
        <f t="shared" ref="E134:E139" si="51">IF(D134="a",0,IF(D134="b",1,IF(D134="c",2,IF(D134="d",3,IF(D134="e",4,"")))))</f>
        <v>0</v>
      </c>
      <c r="H134" s="104">
        <v>68</v>
      </c>
      <c r="I134" s="104">
        <v>29</v>
      </c>
      <c r="J134" s="104">
        <v>43</v>
      </c>
      <c r="K134" s="104">
        <v>40</v>
      </c>
      <c r="L134" s="104">
        <v>42</v>
      </c>
      <c r="M134" s="104">
        <v>46</v>
      </c>
      <c r="N134" s="104">
        <v>68</v>
      </c>
    </row>
    <row r="135" spans="1:14" ht="15.75" thickBot="1" x14ac:dyDescent="0.3">
      <c r="A135" s="98" t="s">
        <v>283</v>
      </c>
      <c r="B135" s="36">
        <v>29</v>
      </c>
      <c r="C135" s="121" t="s">
        <v>387</v>
      </c>
      <c r="D135" s="47" t="s">
        <v>420</v>
      </c>
      <c r="E135" s="48">
        <f t="shared" si="51"/>
        <v>2</v>
      </c>
      <c r="H135" s="104">
        <v>67</v>
      </c>
      <c r="I135" s="104">
        <v>28</v>
      </c>
      <c r="J135" s="104"/>
      <c r="K135" s="104">
        <v>39</v>
      </c>
      <c r="L135" s="104">
        <v>41</v>
      </c>
      <c r="M135" s="104"/>
      <c r="N135" s="104">
        <v>67</v>
      </c>
    </row>
    <row r="136" spans="1:14" ht="15.75" thickBot="1" x14ac:dyDescent="0.3">
      <c r="A136" s="98" t="s">
        <v>284</v>
      </c>
      <c r="B136" s="36">
        <v>30</v>
      </c>
      <c r="C136" s="120" t="s">
        <v>388</v>
      </c>
      <c r="D136" s="47" t="s">
        <v>421</v>
      </c>
      <c r="E136" s="48">
        <f t="shared" si="51"/>
        <v>3</v>
      </c>
      <c r="H136" s="104">
        <v>66</v>
      </c>
      <c r="I136" s="104">
        <v>27</v>
      </c>
      <c r="J136" s="104">
        <v>42</v>
      </c>
      <c r="K136" s="104"/>
      <c r="L136" s="104"/>
      <c r="M136" s="104">
        <v>45</v>
      </c>
      <c r="N136" s="104">
        <v>66</v>
      </c>
    </row>
    <row r="137" spans="1:14" ht="15.75" thickBot="1" x14ac:dyDescent="0.3">
      <c r="A137" s="98" t="s">
        <v>280</v>
      </c>
      <c r="B137" s="36">
        <v>31</v>
      </c>
      <c r="C137" s="121" t="s">
        <v>389</v>
      </c>
      <c r="D137" s="47" t="s">
        <v>424</v>
      </c>
      <c r="E137" s="48">
        <f t="shared" si="51"/>
        <v>4</v>
      </c>
      <c r="H137" s="104">
        <v>65</v>
      </c>
      <c r="I137" s="104">
        <v>26</v>
      </c>
      <c r="J137" s="104">
        <v>41</v>
      </c>
      <c r="K137" s="104">
        <v>38</v>
      </c>
      <c r="L137" s="104">
        <v>40</v>
      </c>
      <c r="M137" s="104"/>
      <c r="N137" s="104">
        <v>65</v>
      </c>
    </row>
    <row r="138" spans="1:14" ht="15.75" thickBot="1" x14ac:dyDescent="0.3">
      <c r="A138" s="98" t="s">
        <v>281</v>
      </c>
      <c r="B138" s="36">
        <v>32</v>
      </c>
      <c r="C138" s="120" t="s">
        <v>390</v>
      </c>
      <c r="D138" s="47" t="s">
        <v>421</v>
      </c>
      <c r="E138" s="48">
        <f t="shared" si="51"/>
        <v>3</v>
      </c>
      <c r="H138" s="104">
        <v>64</v>
      </c>
      <c r="I138" s="104">
        <v>25</v>
      </c>
      <c r="J138" s="104"/>
      <c r="K138" s="104">
        <v>37</v>
      </c>
      <c r="L138" s="104">
        <v>39</v>
      </c>
      <c r="M138" s="104">
        <v>44</v>
      </c>
      <c r="N138" s="104">
        <v>64</v>
      </c>
    </row>
    <row r="139" spans="1:14" ht="25.5" thickBot="1" x14ac:dyDescent="0.3">
      <c r="A139" s="98" t="s">
        <v>282</v>
      </c>
      <c r="B139" s="36">
        <v>33</v>
      </c>
      <c r="C139" s="123" t="s">
        <v>391</v>
      </c>
      <c r="D139" s="47" t="s">
        <v>421</v>
      </c>
      <c r="E139" s="48">
        <f t="shared" si="51"/>
        <v>3</v>
      </c>
      <c r="H139" s="104">
        <v>63</v>
      </c>
      <c r="I139" s="104">
        <v>24</v>
      </c>
      <c r="J139" s="104">
        <v>40</v>
      </c>
      <c r="K139" s="104">
        <v>36</v>
      </c>
      <c r="L139" s="104"/>
      <c r="M139" s="104"/>
      <c r="N139" s="104">
        <v>63</v>
      </c>
    </row>
    <row r="140" spans="1:14" ht="15.75" thickBot="1" x14ac:dyDescent="0.3">
      <c r="A140" s="98" t="s">
        <v>283</v>
      </c>
      <c r="B140" s="36">
        <v>34</v>
      </c>
      <c r="C140" s="120" t="s">
        <v>392</v>
      </c>
      <c r="D140" s="47" t="s">
        <v>420</v>
      </c>
      <c r="E140" s="48">
        <f>IF(D140="a",4,IF(D140="b",3,IF(D140="c",2,IF(D140="d",1,IF(D140="e",0,"")))))</f>
        <v>2</v>
      </c>
      <c r="H140" s="104">
        <v>62</v>
      </c>
      <c r="I140" s="104">
        <v>23</v>
      </c>
      <c r="J140" s="104"/>
      <c r="K140" s="104"/>
      <c r="L140" s="104">
        <v>38</v>
      </c>
      <c r="M140" s="104">
        <v>43</v>
      </c>
      <c r="N140" s="104">
        <v>62</v>
      </c>
    </row>
    <row r="141" spans="1:14" ht="15.75" thickBot="1" x14ac:dyDescent="0.3">
      <c r="A141" s="98" t="s">
        <v>284</v>
      </c>
      <c r="B141" s="36">
        <v>35</v>
      </c>
      <c r="C141" s="121" t="s">
        <v>393</v>
      </c>
      <c r="D141" s="47" t="s">
        <v>421</v>
      </c>
      <c r="E141" s="48">
        <f>IF(D141="a",0,IF(D141="b",1,IF(D141="c",2,IF(D141="d",3,IF(D141="e",4,"")))))</f>
        <v>3</v>
      </c>
      <c r="H141" s="104">
        <v>61</v>
      </c>
      <c r="I141" s="104">
        <v>22</v>
      </c>
      <c r="J141" s="104">
        <v>39</v>
      </c>
      <c r="K141" s="104">
        <v>35</v>
      </c>
      <c r="L141" s="104"/>
      <c r="M141" s="104">
        <v>42</v>
      </c>
      <c r="N141" s="104">
        <v>61</v>
      </c>
    </row>
    <row r="142" spans="1:14" ht="15.75" thickBot="1" x14ac:dyDescent="0.3">
      <c r="A142" s="98" t="s">
        <v>280</v>
      </c>
      <c r="B142" s="36">
        <v>36</v>
      </c>
      <c r="C142" s="120" t="s">
        <v>394</v>
      </c>
      <c r="D142" s="47" t="s">
        <v>420</v>
      </c>
      <c r="E142" s="48">
        <f>IF(D142="a",0,IF(D142="b",1,IF(D142="c",2,IF(D142="d",3,IF(D142="e",4,"")))))</f>
        <v>2</v>
      </c>
      <c r="H142" s="104">
        <v>60</v>
      </c>
      <c r="I142" s="104">
        <v>21</v>
      </c>
      <c r="J142" s="104">
        <v>38</v>
      </c>
      <c r="K142" s="104"/>
      <c r="L142" s="104">
        <v>37</v>
      </c>
      <c r="M142" s="104"/>
      <c r="N142" s="104">
        <v>60</v>
      </c>
    </row>
    <row r="143" spans="1:14" ht="15.75" thickBot="1" x14ac:dyDescent="0.3">
      <c r="A143" s="98" t="s">
        <v>281</v>
      </c>
      <c r="B143" s="36">
        <v>37</v>
      </c>
      <c r="C143" s="121" t="s">
        <v>395</v>
      </c>
      <c r="D143" s="47" t="s">
        <v>420</v>
      </c>
      <c r="E143" s="48">
        <f>IF(D143="a",4,IF(D143="b",3,IF(D143="c",2,IF(D143="d",1,IF(D143="e",0,"")))))</f>
        <v>2</v>
      </c>
      <c r="H143" s="104">
        <v>59</v>
      </c>
      <c r="I143" s="104">
        <v>20</v>
      </c>
      <c r="J143" s="104"/>
      <c r="K143" s="104">
        <v>34</v>
      </c>
      <c r="L143" s="104">
        <v>36</v>
      </c>
      <c r="M143" s="104">
        <v>41</v>
      </c>
      <c r="N143" s="104">
        <v>59</v>
      </c>
    </row>
    <row r="144" spans="1:14" ht="15.75" thickBot="1" x14ac:dyDescent="0.3">
      <c r="A144" s="98" t="s">
        <v>282</v>
      </c>
      <c r="B144" s="36">
        <v>38</v>
      </c>
      <c r="C144" s="120" t="s">
        <v>396</v>
      </c>
      <c r="D144" s="47" t="s">
        <v>423</v>
      </c>
      <c r="E144" s="48">
        <f>IF(D144="a",4,IF(D144="b",3,IF(D144="c",2,IF(D144="d",1,IF(D144="e",0,"")))))</f>
        <v>4</v>
      </c>
      <c r="H144" s="104">
        <v>58</v>
      </c>
      <c r="I144" s="104">
        <v>19</v>
      </c>
      <c r="J144" s="104">
        <v>37</v>
      </c>
      <c r="K144" s="104">
        <v>33</v>
      </c>
      <c r="L144" s="104"/>
      <c r="M144" s="104"/>
      <c r="N144" s="104">
        <v>58</v>
      </c>
    </row>
    <row r="145" spans="1:14" ht="15.75" thickBot="1" x14ac:dyDescent="0.3">
      <c r="A145" s="98" t="s">
        <v>283</v>
      </c>
      <c r="B145" s="36">
        <v>39</v>
      </c>
      <c r="C145" s="121" t="s">
        <v>397</v>
      </c>
      <c r="D145" s="47" t="s">
        <v>421</v>
      </c>
      <c r="E145" s="48">
        <f>IF(D145="a",0,IF(D145="b",1,IF(D145="c",2,IF(D145="d",3,IF(D145="e",4,"")))))</f>
        <v>3</v>
      </c>
      <c r="H145" s="104">
        <v>57</v>
      </c>
      <c r="I145" s="104">
        <v>18</v>
      </c>
      <c r="J145" s="104">
        <v>36</v>
      </c>
      <c r="K145" s="104"/>
      <c r="L145" s="104">
        <v>35</v>
      </c>
      <c r="M145" s="104">
        <v>40</v>
      </c>
      <c r="N145" s="104">
        <v>57</v>
      </c>
    </row>
    <row r="146" spans="1:14" ht="15.75" thickBot="1" x14ac:dyDescent="0.3">
      <c r="A146" s="98" t="s">
        <v>284</v>
      </c>
      <c r="B146" s="36">
        <v>40</v>
      </c>
      <c r="C146" s="120" t="s">
        <v>398</v>
      </c>
      <c r="D146" s="47" t="s">
        <v>421</v>
      </c>
      <c r="E146" s="48">
        <f>IF(D146="a",0,IF(D146="b",1,IF(D146="c",2,IF(D146="d",3,IF(D146="e",4,"")))))</f>
        <v>3</v>
      </c>
      <c r="H146" s="104">
        <v>56</v>
      </c>
      <c r="I146" s="104">
        <v>17</v>
      </c>
      <c r="J146" s="104"/>
      <c r="K146" s="104">
        <v>32</v>
      </c>
      <c r="L146" s="104"/>
      <c r="M146" s="104">
        <v>39</v>
      </c>
      <c r="N146" s="104">
        <v>56</v>
      </c>
    </row>
    <row r="147" spans="1:14" ht="15.75" thickBot="1" x14ac:dyDescent="0.3">
      <c r="A147" s="98" t="s">
        <v>280</v>
      </c>
      <c r="B147" s="36">
        <v>41</v>
      </c>
      <c r="C147" s="121" t="s">
        <v>399</v>
      </c>
      <c r="D147" s="47" t="s">
        <v>420</v>
      </c>
      <c r="E147" s="48">
        <f>IF(D147="a",4,IF(D147="b",3,IF(D147="c",2,IF(D147="d",1,IF(D147="e",0,"")))))</f>
        <v>2</v>
      </c>
      <c r="H147" s="104">
        <v>55</v>
      </c>
      <c r="I147" s="104"/>
      <c r="J147" s="104">
        <v>35</v>
      </c>
      <c r="K147" s="104">
        <v>31</v>
      </c>
      <c r="L147" s="104">
        <v>34</v>
      </c>
      <c r="M147" s="104"/>
      <c r="N147" s="104">
        <v>55</v>
      </c>
    </row>
    <row r="148" spans="1:14" ht="15.75" thickBot="1" x14ac:dyDescent="0.3">
      <c r="A148" s="98" t="s">
        <v>281</v>
      </c>
      <c r="B148" s="36">
        <v>42</v>
      </c>
      <c r="C148" s="120" t="s">
        <v>400</v>
      </c>
      <c r="D148" s="47" t="s">
        <v>420</v>
      </c>
      <c r="E148" s="48">
        <f>IF(D148="a",4,IF(D148="b",3,IF(D148="c",2,IF(D148="d",1,IF(D148="e",0,"")))))</f>
        <v>2</v>
      </c>
      <c r="H148" s="104">
        <v>54</v>
      </c>
      <c r="I148" s="104">
        <v>16</v>
      </c>
      <c r="J148" s="104"/>
      <c r="K148" s="104"/>
      <c r="L148" s="104"/>
      <c r="M148" s="104">
        <v>38</v>
      </c>
      <c r="N148" s="104">
        <v>54</v>
      </c>
    </row>
    <row r="149" spans="1:14" ht="15.75" thickBot="1" x14ac:dyDescent="0.3">
      <c r="A149" s="98" t="s">
        <v>282</v>
      </c>
      <c r="B149" s="36">
        <v>43</v>
      </c>
      <c r="C149" s="121" t="s">
        <v>401</v>
      </c>
      <c r="D149" s="47" t="s">
        <v>422</v>
      </c>
      <c r="E149" s="48">
        <f>IF(D149="a",4,IF(D149="b",3,IF(D149="c",2,IF(D149="d",1,IF(D149="e",0,"")))))</f>
        <v>3</v>
      </c>
      <c r="H149" s="104">
        <v>53</v>
      </c>
      <c r="I149" s="104">
        <v>15</v>
      </c>
      <c r="J149" s="104">
        <v>34</v>
      </c>
      <c r="K149" s="104">
        <v>30</v>
      </c>
      <c r="L149" s="104">
        <v>33</v>
      </c>
      <c r="M149" s="104">
        <v>37</v>
      </c>
      <c r="N149" s="104">
        <v>53</v>
      </c>
    </row>
    <row r="150" spans="1:14" ht="15.75" thickBot="1" x14ac:dyDescent="0.3">
      <c r="A150" s="98" t="s">
        <v>283</v>
      </c>
      <c r="B150" s="36">
        <v>44</v>
      </c>
      <c r="C150" s="120" t="s">
        <v>402</v>
      </c>
      <c r="D150" s="47" t="s">
        <v>421</v>
      </c>
      <c r="E150" s="48">
        <f>IF(D150="a",0,IF(D150="b",1,IF(D150="c",2,IF(D150="d",3,IF(D150="e",4,"")))))</f>
        <v>3</v>
      </c>
      <c r="H150" s="104">
        <v>52</v>
      </c>
      <c r="I150" s="104">
        <v>14</v>
      </c>
      <c r="J150" s="104">
        <v>33</v>
      </c>
      <c r="K150" s="104">
        <v>29</v>
      </c>
      <c r="L150" s="104"/>
      <c r="M150" s="104"/>
      <c r="N150" s="104">
        <v>52</v>
      </c>
    </row>
    <row r="151" spans="1:14" ht="15.75" thickBot="1" x14ac:dyDescent="0.3">
      <c r="A151" s="98" t="s">
        <v>284</v>
      </c>
      <c r="B151" s="36">
        <v>45</v>
      </c>
      <c r="C151" s="121" t="s">
        <v>403</v>
      </c>
      <c r="D151" s="47" t="s">
        <v>420</v>
      </c>
      <c r="E151" s="48">
        <f>IF(D151="a",0,IF(D151="b",1,IF(D151="c",2,IF(D151="d",3,IF(D151="e",4,"")))))</f>
        <v>2</v>
      </c>
      <c r="H151" s="104">
        <v>51</v>
      </c>
      <c r="I151" s="104"/>
      <c r="J151" s="104"/>
      <c r="K151" s="104"/>
      <c r="L151" s="104">
        <v>32</v>
      </c>
      <c r="M151" s="104">
        <v>36</v>
      </c>
      <c r="N151" s="104">
        <v>51</v>
      </c>
    </row>
    <row r="152" spans="1:14" ht="15.75" thickBot="1" x14ac:dyDescent="0.3">
      <c r="A152" s="98" t="s">
        <v>280</v>
      </c>
      <c r="B152" s="36">
        <v>46</v>
      </c>
      <c r="C152" s="120" t="s">
        <v>404</v>
      </c>
      <c r="D152" s="47" t="s">
        <v>420</v>
      </c>
      <c r="E152" s="48">
        <f>IF(D152="a",4,IF(D152="b",3,IF(D152="c",2,IF(D152="d",1,IF(D152="e",0,"")))))</f>
        <v>2</v>
      </c>
      <c r="H152" s="104">
        <v>50</v>
      </c>
      <c r="I152" s="104">
        <v>13</v>
      </c>
      <c r="J152" s="104">
        <v>32</v>
      </c>
      <c r="K152" s="104">
        <v>28</v>
      </c>
      <c r="L152" s="104">
        <v>31</v>
      </c>
      <c r="M152" s="104">
        <v>35</v>
      </c>
      <c r="N152" s="104">
        <v>50</v>
      </c>
    </row>
    <row r="153" spans="1:14" ht="15.75" thickBot="1" x14ac:dyDescent="0.3">
      <c r="A153" s="98" t="s">
        <v>281</v>
      </c>
      <c r="B153" s="36">
        <v>47</v>
      </c>
      <c r="C153" s="121" t="s">
        <v>405</v>
      </c>
      <c r="D153" s="47" t="s">
        <v>420</v>
      </c>
      <c r="E153" s="48">
        <f>IF(D153="a",0,IF(D153="b",1,IF(D153="c",2,IF(D153="d",3,IF(D153="e",4,"")))))</f>
        <v>2</v>
      </c>
      <c r="H153" s="104">
        <v>49</v>
      </c>
      <c r="I153" s="104">
        <v>12</v>
      </c>
      <c r="J153" s="104">
        <v>31</v>
      </c>
      <c r="K153" s="104">
        <v>27</v>
      </c>
      <c r="L153" s="104"/>
      <c r="M153" s="104"/>
      <c r="N153" s="104">
        <v>49</v>
      </c>
    </row>
    <row r="154" spans="1:14" ht="15.75" thickBot="1" x14ac:dyDescent="0.3">
      <c r="A154" s="98" t="s">
        <v>282</v>
      </c>
      <c r="B154" s="36">
        <v>48</v>
      </c>
      <c r="C154" s="120" t="s">
        <v>406</v>
      </c>
      <c r="D154" s="47" t="s">
        <v>422</v>
      </c>
      <c r="E154" s="48">
        <f>IF(D154="a",0,IF(D154="b",1,IF(D154="c",2,IF(D154="d",3,IF(D154="e",4,"")))))</f>
        <v>1</v>
      </c>
      <c r="H154" s="104">
        <v>48</v>
      </c>
      <c r="I154" s="104">
        <v>11</v>
      </c>
      <c r="J154" s="104">
        <v>30</v>
      </c>
      <c r="K154" s="104">
        <v>26</v>
      </c>
      <c r="L154" s="104">
        <v>30</v>
      </c>
      <c r="M154" s="104">
        <v>34</v>
      </c>
      <c r="N154" s="104">
        <v>48</v>
      </c>
    </row>
    <row r="155" spans="1:14" ht="15.75" thickBot="1" x14ac:dyDescent="0.3">
      <c r="A155" s="98" t="s">
        <v>283</v>
      </c>
      <c r="B155" s="36">
        <v>49</v>
      </c>
      <c r="C155" s="121" t="s">
        <v>407</v>
      </c>
      <c r="D155" s="47" t="s">
        <v>421</v>
      </c>
      <c r="E155" s="48">
        <f>IF(D155="a",0,IF(D155="b",1,IF(D155="c",2,IF(D155="d",3,IF(D155="e",4,"")))))</f>
        <v>3</v>
      </c>
      <c r="H155" s="104">
        <v>47</v>
      </c>
      <c r="I155" s="104"/>
      <c r="J155" s="104"/>
      <c r="K155" s="104"/>
      <c r="L155" s="104"/>
      <c r="M155" s="104"/>
      <c r="N155" s="104">
        <v>47</v>
      </c>
    </row>
    <row r="156" spans="1:14" ht="15.75" thickBot="1" x14ac:dyDescent="0.3">
      <c r="A156" s="98" t="s">
        <v>284</v>
      </c>
      <c r="B156" s="36">
        <v>50</v>
      </c>
      <c r="C156" s="120" t="s">
        <v>408</v>
      </c>
      <c r="D156" s="47" t="s">
        <v>420</v>
      </c>
      <c r="E156" s="48">
        <f>IF(D156="a",4,IF(D156="b",3,IF(D156="c",2,IF(D156="d",1,IF(D156="e",0,"")))))</f>
        <v>2</v>
      </c>
      <c r="H156" s="104">
        <v>46</v>
      </c>
      <c r="I156" s="104">
        <v>10</v>
      </c>
      <c r="J156" s="104">
        <v>29</v>
      </c>
      <c r="K156" s="104">
        <v>25</v>
      </c>
      <c r="L156" s="104">
        <v>29</v>
      </c>
      <c r="M156" s="104">
        <v>33</v>
      </c>
      <c r="N156" s="104">
        <v>46</v>
      </c>
    </row>
    <row r="157" spans="1:14" ht="15.75" thickBot="1" x14ac:dyDescent="0.3">
      <c r="A157" s="98" t="s">
        <v>280</v>
      </c>
      <c r="B157" s="36">
        <v>51</v>
      </c>
      <c r="C157" s="121" t="s">
        <v>409</v>
      </c>
      <c r="D157" s="47" t="s">
        <v>422</v>
      </c>
      <c r="E157" s="48">
        <f>IF(D157="a",0,IF(D157="b",1,IF(D157="c",2,IF(D157="d",3,IF(D157="e",4,"")))))</f>
        <v>1</v>
      </c>
      <c r="H157" s="104">
        <v>45</v>
      </c>
      <c r="I157" s="104"/>
      <c r="J157" s="104">
        <v>28</v>
      </c>
      <c r="K157" s="104">
        <v>24</v>
      </c>
      <c r="L157" s="104"/>
      <c r="M157" s="104"/>
      <c r="N157" s="104">
        <v>45</v>
      </c>
    </row>
    <row r="158" spans="1:14" ht="15.75" thickBot="1" x14ac:dyDescent="0.3">
      <c r="A158" s="98" t="s">
        <v>281</v>
      </c>
      <c r="B158" s="36">
        <v>52</v>
      </c>
      <c r="C158" s="120" t="s">
        <v>410</v>
      </c>
      <c r="D158" s="47" t="s">
        <v>423</v>
      </c>
      <c r="E158" s="48">
        <f>IF(D158="a",0,IF(D158="b",1,IF(D158="c",2,IF(D158="d",3,IF(D158="e",4,"")))))</f>
        <v>0</v>
      </c>
      <c r="H158" s="104">
        <v>44</v>
      </c>
      <c r="I158" s="104">
        <v>9</v>
      </c>
      <c r="J158" s="104"/>
      <c r="K158" s="104">
        <v>23</v>
      </c>
      <c r="L158" s="104">
        <v>28</v>
      </c>
      <c r="M158" s="104">
        <v>32</v>
      </c>
      <c r="N158" s="104">
        <v>44</v>
      </c>
    </row>
    <row r="159" spans="1:14" ht="15.75" thickBot="1" x14ac:dyDescent="0.3">
      <c r="A159" s="98" t="s">
        <v>282</v>
      </c>
      <c r="B159" s="36">
        <v>53</v>
      </c>
      <c r="C159" s="121" t="s">
        <v>411</v>
      </c>
      <c r="D159" s="47" t="s">
        <v>420</v>
      </c>
      <c r="E159" s="48">
        <f>IF(D159="a",0,IF(D159="b",1,IF(D159="c",2,IF(D159="d",3,IF(D159="e",4,"")))))</f>
        <v>2</v>
      </c>
      <c r="H159" s="104">
        <v>43</v>
      </c>
      <c r="I159" s="104"/>
      <c r="J159" s="104">
        <v>27</v>
      </c>
      <c r="K159" s="104"/>
      <c r="L159" s="104"/>
      <c r="M159" s="104"/>
      <c r="N159" s="104">
        <v>43</v>
      </c>
    </row>
    <row r="160" spans="1:14" ht="15.75" thickBot="1" x14ac:dyDescent="0.3">
      <c r="A160" s="98" t="s">
        <v>283</v>
      </c>
      <c r="B160" s="36">
        <v>54</v>
      </c>
      <c r="C160" s="120" t="s">
        <v>412</v>
      </c>
      <c r="D160" s="47" t="s">
        <v>423</v>
      </c>
      <c r="E160" s="48">
        <f t="shared" ref="E160:E166" si="52">IF(D160="a",4,IF(D160="b",3,IF(D160="c",2,IF(D160="d",1,IF(D160="e",0,"")))))</f>
        <v>4</v>
      </c>
      <c r="H160" s="104">
        <v>42</v>
      </c>
      <c r="I160" s="104">
        <v>8</v>
      </c>
      <c r="J160" s="104">
        <v>26</v>
      </c>
      <c r="K160" s="104">
        <v>22</v>
      </c>
      <c r="L160" s="104">
        <v>27</v>
      </c>
      <c r="M160" s="104">
        <v>31</v>
      </c>
      <c r="N160" s="104">
        <v>42</v>
      </c>
    </row>
    <row r="161" spans="1:14" ht="15.75" thickBot="1" x14ac:dyDescent="0.3">
      <c r="A161" s="98" t="s">
        <v>284</v>
      </c>
      <c r="B161" s="36">
        <v>55</v>
      </c>
      <c r="C161" s="121" t="s">
        <v>413</v>
      </c>
      <c r="D161" s="47" t="s">
        <v>423</v>
      </c>
      <c r="E161" s="48">
        <f t="shared" si="52"/>
        <v>4</v>
      </c>
      <c r="H161" s="104">
        <v>41</v>
      </c>
      <c r="I161" s="104">
        <v>7</v>
      </c>
      <c r="J161" s="104"/>
      <c r="K161" s="104">
        <v>21</v>
      </c>
      <c r="L161" s="104">
        <v>26</v>
      </c>
      <c r="M161" s="104">
        <v>30</v>
      </c>
      <c r="N161" s="104">
        <v>41</v>
      </c>
    </row>
    <row r="162" spans="1:14" ht="15.75" thickBot="1" x14ac:dyDescent="0.3">
      <c r="A162" s="98" t="s">
        <v>280</v>
      </c>
      <c r="B162" s="36">
        <v>56</v>
      </c>
      <c r="C162" s="120" t="s">
        <v>414</v>
      </c>
      <c r="D162" s="47" t="s">
        <v>422</v>
      </c>
      <c r="E162" s="48">
        <f t="shared" si="52"/>
        <v>3</v>
      </c>
      <c r="H162" s="104">
        <v>40</v>
      </c>
      <c r="I162" s="104"/>
      <c r="J162" s="104">
        <v>25</v>
      </c>
      <c r="K162" s="104"/>
      <c r="L162" s="104"/>
      <c r="M162" s="104">
        <v>29</v>
      </c>
      <c r="N162" s="104">
        <v>40</v>
      </c>
    </row>
    <row r="163" spans="1:14" ht="15.75" thickBot="1" x14ac:dyDescent="0.3">
      <c r="A163" s="98" t="s">
        <v>281</v>
      </c>
      <c r="B163" s="36">
        <v>57</v>
      </c>
      <c r="C163" s="121" t="s">
        <v>415</v>
      </c>
      <c r="D163" s="47" t="s">
        <v>420</v>
      </c>
      <c r="E163" s="48">
        <f t="shared" si="52"/>
        <v>2</v>
      </c>
      <c r="H163" s="104">
        <v>39</v>
      </c>
      <c r="I163" s="104">
        <v>6</v>
      </c>
      <c r="J163" s="104">
        <v>24</v>
      </c>
      <c r="K163" s="104">
        <v>20</v>
      </c>
      <c r="L163" s="104">
        <v>25</v>
      </c>
      <c r="M163" s="104"/>
      <c r="N163" s="104">
        <v>39</v>
      </c>
    </row>
    <row r="164" spans="1:14" ht="15.75" thickBot="1" x14ac:dyDescent="0.3">
      <c r="A164" s="98" t="s">
        <v>282</v>
      </c>
      <c r="B164" s="36">
        <v>58</v>
      </c>
      <c r="C164" s="120" t="s">
        <v>416</v>
      </c>
      <c r="D164" s="47" t="s">
        <v>422</v>
      </c>
      <c r="E164" s="48">
        <f t="shared" si="52"/>
        <v>3</v>
      </c>
      <c r="H164" s="104">
        <v>38</v>
      </c>
      <c r="I164" s="104">
        <v>5</v>
      </c>
      <c r="J164" s="104"/>
      <c r="K164" s="104">
        <v>19</v>
      </c>
      <c r="L164" s="104">
        <v>24</v>
      </c>
      <c r="M164" s="104">
        <v>28</v>
      </c>
      <c r="N164" s="104">
        <v>38</v>
      </c>
    </row>
    <row r="165" spans="1:14" ht="15.75" thickBot="1" x14ac:dyDescent="0.3">
      <c r="A165" s="98" t="s">
        <v>283</v>
      </c>
      <c r="B165" s="36">
        <v>59</v>
      </c>
      <c r="C165" s="121" t="s">
        <v>417</v>
      </c>
      <c r="D165" s="47" t="s">
        <v>423</v>
      </c>
      <c r="E165" s="48">
        <f t="shared" si="52"/>
        <v>4</v>
      </c>
      <c r="H165" s="104">
        <v>37</v>
      </c>
      <c r="I165" s="104"/>
      <c r="J165" s="104">
        <v>23</v>
      </c>
      <c r="K165" s="104">
        <v>18</v>
      </c>
      <c r="L165" s="104">
        <v>23</v>
      </c>
      <c r="M165" s="104">
        <v>27</v>
      </c>
      <c r="N165" s="104">
        <v>37</v>
      </c>
    </row>
    <row r="166" spans="1:14" x14ac:dyDescent="0.25">
      <c r="A166" s="98" t="s">
        <v>284</v>
      </c>
      <c r="B166" s="36">
        <v>60</v>
      </c>
      <c r="C166" s="122" t="s">
        <v>418</v>
      </c>
      <c r="D166" s="47" t="s">
        <v>420</v>
      </c>
      <c r="E166" s="48">
        <f t="shared" si="52"/>
        <v>2</v>
      </c>
      <c r="H166" s="104">
        <v>36</v>
      </c>
      <c r="I166" s="104">
        <v>4</v>
      </c>
      <c r="J166" s="104">
        <v>22</v>
      </c>
      <c r="K166" s="104"/>
      <c r="L166" s="104"/>
      <c r="M166" s="104">
        <v>26</v>
      </c>
      <c r="N166" s="104">
        <v>36</v>
      </c>
    </row>
    <row r="167" spans="1:14" x14ac:dyDescent="0.25">
      <c r="H167" s="104">
        <v>35</v>
      </c>
      <c r="I167" s="104">
        <v>3</v>
      </c>
      <c r="J167" s="104"/>
      <c r="K167" s="104">
        <v>17</v>
      </c>
      <c r="L167" s="104">
        <v>22</v>
      </c>
      <c r="M167" s="104">
        <v>25</v>
      </c>
      <c r="N167" s="104">
        <v>35</v>
      </c>
    </row>
    <row r="168" spans="1:14" x14ac:dyDescent="0.25">
      <c r="H168" s="104">
        <v>34</v>
      </c>
      <c r="I168" s="104"/>
      <c r="J168" s="104">
        <v>21</v>
      </c>
      <c r="K168" s="104">
        <v>16</v>
      </c>
      <c r="L168" s="104"/>
      <c r="M168" s="104">
        <v>24</v>
      </c>
      <c r="N168" s="104">
        <v>34</v>
      </c>
    </row>
    <row r="169" spans="1:14" x14ac:dyDescent="0.25">
      <c r="H169" s="104">
        <v>33</v>
      </c>
      <c r="I169" s="104">
        <v>2</v>
      </c>
      <c r="J169" s="104">
        <v>20</v>
      </c>
      <c r="K169" s="104">
        <v>15</v>
      </c>
      <c r="L169" s="104">
        <v>21</v>
      </c>
      <c r="M169" s="104">
        <v>23</v>
      </c>
      <c r="N169" s="104">
        <v>33</v>
      </c>
    </row>
    <row r="170" spans="1:14" x14ac:dyDescent="0.25">
      <c r="H170" s="104">
        <v>32</v>
      </c>
      <c r="I170" s="104"/>
      <c r="J170" s="104">
        <v>19</v>
      </c>
      <c r="K170" s="104"/>
      <c r="L170" s="104">
        <v>20</v>
      </c>
      <c r="M170" s="104">
        <v>22</v>
      </c>
      <c r="N170" s="104">
        <v>32</v>
      </c>
    </row>
    <row r="171" spans="1:14" x14ac:dyDescent="0.25">
      <c r="H171" s="104">
        <v>31</v>
      </c>
      <c r="I171" s="104">
        <v>1</v>
      </c>
      <c r="J171" s="104">
        <v>18</v>
      </c>
      <c r="K171" s="104">
        <v>14</v>
      </c>
      <c r="L171" s="104">
        <v>19</v>
      </c>
      <c r="M171" s="104">
        <v>21</v>
      </c>
      <c r="N171" s="104">
        <v>31</v>
      </c>
    </row>
    <row r="172" spans="1:14" x14ac:dyDescent="0.25">
      <c r="H172" s="104">
        <v>30</v>
      </c>
      <c r="I172" s="104"/>
      <c r="J172" s="104">
        <v>17</v>
      </c>
      <c r="K172" s="104">
        <v>13</v>
      </c>
      <c r="L172" s="104"/>
      <c r="M172" s="104">
        <v>20</v>
      </c>
      <c r="N172" s="104">
        <v>30</v>
      </c>
    </row>
    <row r="173" spans="1:14" x14ac:dyDescent="0.25">
      <c r="H173" s="104">
        <v>29</v>
      </c>
      <c r="I173" s="104">
        <v>0</v>
      </c>
      <c r="J173" s="104">
        <v>16</v>
      </c>
      <c r="K173" s="104">
        <v>12</v>
      </c>
      <c r="L173" s="104"/>
      <c r="M173" s="104">
        <v>19</v>
      </c>
      <c r="N173" s="104">
        <v>29</v>
      </c>
    </row>
    <row r="174" spans="1:14" x14ac:dyDescent="0.25">
      <c r="H174" s="104">
        <v>28</v>
      </c>
      <c r="I174" s="104"/>
      <c r="J174" s="104"/>
      <c r="K174" s="104"/>
      <c r="L174" s="104">
        <v>18</v>
      </c>
      <c r="M174" s="104">
        <v>18</v>
      </c>
      <c r="N174" s="104">
        <v>28</v>
      </c>
    </row>
    <row r="175" spans="1:14" x14ac:dyDescent="0.25">
      <c r="H175" s="104">
        <v>27</v>
      </c>
      <c r="I175" s="104"/>
      <c r="J175" s="104">
        <v>15</v>
      </c>
      <c r="K175" s="104">
        <v>11</v>
      </c>
      <c r="L175" s="104">
        <v>17</v>
      </c>
      <c r="M175" s="104">
        <v>17</v>
      </c>
      <c r="N175" s="104">
        <v>27</v>
      </c>
    </row>
    <row r="176" spans="1:14" x14ac:dyDescent="0.25">
      <c r="H176" s="104">
        <v>26</v>
      </c>
      <c r="I176" s="104"/>
      <c r="J176" s="104"/>
      <c r="K176" s="104"/>
      <c r="L176" s="104"/>
      <c r="M176" s="104"/>
      <c r="N176" s="104">
        <v>26</v>
      </c>
    </row>
    <row r="177" spans="8:14" s="36" customFormat="1" x14ac:dyDescent="0.25">
      <c r="H177" s="104">
        <v>26</v>
      </c>
      <c r="I177" s="104"/>
      <c r="J177" s="104">
        <v>14</v>
      </c>
      <c r="K177" s="104"/>
      <c r="L177" s="104">
        <v>16</v>
      </c>
      <c r="M177" s="104">
        <v>16</v>
      </c>
      <c r="N177" s="104">
        <v>26</v>
      </c>
    </row>
    <row r="178" spans="8:14" s="36" customFormat="1" x14ac:dyDescent="0.25">
      <c r="H178" s="104">
        <v>25</v>
      </c>
      <c r="I178" s="104"/>
      <c r="J178" s="104"/>
      <c r="K178" s="104"/>
      <c r="L178" s="104"/>
      <c r="M178" s="104"/>
      <c r="N178" s="104">
        <v>25</v>
      </c>
    </row>
    <row r="179" spans="8:14" s="36" customFormat="1" x14ac:dyDescent="0.25">
      <c r="H179" s="104">
        <v>25</v>
      </c>
      <c r="I179" s="104"/>
      <c r="J179" s="104"/>
      <c r="K179" s="104"/>
      <c r="L179" s="104"/>
      <c r="M179" s="104"/>
      <c r="N179" s="104">
        <v>25</v>
      </c>
    </row>
    <row r="180" spans="8:14" s="36" customFormat="1" x14ac:dyDescent="0.25">
      <c r="H180" s="104">
        <v>25</v>
      </c>
      <c r="I180" s="104"/>
      <c r="J180" s="104"/>
      <c r="K180" s="104"/>
      <c r="L180" s="104"/>
      <c r="M180" s="104"/>
      <c r="N180" s="104">
        <v>25</v>
      </c>
    </row>
    <row r="181" spans="8:14" s="36" customFormat="1" x14ac:dyDescent="0.25">
      <c r="H181" s="104">
        <v>25</v>
      </c>
      <c r="I181" s="104"/>
      <c r="J181" s="104"/>
      <c r="K181" s="104"/>
      <c r="L181" s="104"/>
      <c r="M181" s="104"/>
      <c r="N181" s="104">
        <v>25</v>
      </c>
    </row>
    <row r="182" spans="8:14" s="36" customFormat="1" x14ac:dyDescent="0.25">
      <c r="H182" s="104">
        <v>25</v>
      </c>
      <c r="I182" s="104"/>
      <c r="J182" s="104"/>
      <c r="K182" s="104"/>
      <c r="L182" s="104">
        <v>15</v>
      </c>
      <c r="M182" s="104">
        <v>15</v>
      </c>
      <c r="N182" s="104">
        <v>25</v>
      </c>
    </row>
    <row r="183" spans="8:14" s="36" customFormat="1" x14ac:dyDescent="0.25">
      <c r="H183" s="104">
        <v>25</v>
      </c>
      <c r="I183" s="104"/>
      <c r="J183" s="104"/>
      <c r="K183" s="104"/>
      <c r="L183" s="104">
        <v>14</v>
      </c>
      <c r="M183" s="104">
        <v>14</v>
      </c>
      <c r="N183" s="104">
        <v>25</v>
      </c>
    </row>
    <row r="184" spans="8:14" s="36" customFormat="1" x14ac:dyDescent="0.25">
      <c r="H184" s="104">
        <v>25</v>
      </c>
      <c r="I184" s="104"/>
      <c r="J184" s="104">
        <v>13</v>
      </c>
      <c r="K184" s="104"/>
      <c r="L184" s="104">
        <v>13</v>
      </c>
      <c r="M184" s="104">
        <v>13</v>
      </c>
      <c r="N184" s="104">
        <v>25</v>
      </c>
    </row>
    <row r="185" spans="8:14" s="36" customFormat="1" x14ac:dyDescent="0.25">
      <c r="H185" s="104">
        <v>25</v>
      </c>
      <c r="I185" s="104"/>
      <c r="J185" s="104">
        <v>12</v>
      </c>
      <c r="K185" s="104"/>
      <c r="L185" s="104">
        <v>12</v>
      </c>
      <c r="M185" s="104">
        <v>12</v>
      </c>
      <c r="N185" s="104">
        <v>25</v>
      </c>
    </row>
    <row r="186" spans="8:14" s="36" customFormat="1" x14ac:dyDescent="0.25">
      <c r="H186" s="104">
        <v>25</v>
      </c>
      <c r="I186" s="104"/>
      <c r="J186" s="104">
        <v>11</v>
      </c>
      <c r="K186" s="104"/>
      <c r="L186" s="104">
        <v>11</v>
      </c>
      <c r="M186" s="104">
        <v>11</v>
      </c>
      <c r="N186" s="104">
        <v>25</v>
      </c>
    </row>
    <row r="187" spans="8:14" s="36" customFormat="1" x14ac:dyDescent="0.25">
      <c r="H187" s="104">
        <v>25</v>
      </c>
      <c r="I187" s="104"/>
      <c r="J187" s="104">
        <v>10</v>
      </c>
      <c r="K187" s="104">
        <v>10</v>
      </c>
      <c r="L187" s="104">
        <v>10</v>
      </c>
      <c r="M187" s="104">
        <v>10</v>
      </c>
      <c r="N187" s="104">
        <v>25</v>
      </c>
    </row>
    <row r="188" spans="8:14" s="36" customFormat="1" x14ac:dyDescent="0.25">
      <c r="H188" s="104">
        <v>25</v>
      </c>
      <c r="I188" s="104"/>
      <c r="J188" s="104">
        <v>9</v>
      </c>
      <c r="K188" s="104">
        <v>9</v>
      </c>
      <c r="L188" s="104">
        <v>9</v>
      </c>
      <c r="M188" s="104">
        <v>9</v>
      </c>
      <c r="N188" s="104">
        <v>25</v>
      </c>
    </row>
    <row r="189" spans="8:14" s="36" customFormat="1" x14ac:dyDescent="0.25">
      <c r="H189" s="104">
        <v>25</v>
      </c>
      <c r="I189" s="104"/>
      <c r="J189" s="104">
        <v>8</v>
      </c>
      <c r="K189" s="104">
        <v>8</v>
      </c>
      <c r="L189" s="104">
        <v>8</v>
      </c>
      <c r="M189" s="104">
        <v>8</v>
      </c>
      <c r="N189" s="104">
        <v>25</v>
      </c>
    </row>
    <row r="190" spans="8:14" s="36" customFormat="1" x14ac:dyDescent="0.25">
      <c r="H190" s="104">
        <v>25</v>
      </c>
      <c r="I190" s="104"/>
      <c r="J190" s="104">
        <v>7</v>
      </c>
      <c r="K190" s="104">
        <v>7</v>
      </c>
      <c r="L190" s="104">
        <v>7</v>
      </c>
      <c r="M190" s="104">
        <v>7</v>
      </c>
      <c r="N190" s="104">
        <v>25</v>
      </c>
    </row>
    <row r="191" spans="8:14" s="36" customFormat="1" x14ac:dyDescent="0.25">
      <c r="H191" s="104">
        <v>25</v>
      </c>
      <c r="I191" s="104"/>
      <c r="J191" s="104">
        <v>6</v>
      </c>
      <c r="K191" s="104">
        <v>6</v>
      </c>
      <c r="L191" s="104">
        <v>6</v>
      </c>
      <c r="M191" s="104">
        <v>6</v>
      </c>
      <c r="N191" s="104">
        <v>25</v>
      </c>
    </row>
    <row r="192" spans="8:14" s="36" customFormat="1" x14ac:dyDescent="0.25">
      <c r="H192" s="104">
        <v>25</v>
      </c>
      <c r="I192" s="104"/>
      <c r="J192" s="104">
        <v>5</v>
      </c>
      <c r="K192" s="104">
        <v>5</v>
      </c>
      <c r="L192" s="104">
        <v>5</v>
      </c>
      <c r="M192" s="104">
        <v>5</v>
      </c>
      <c r="N192" s="104">
        <v>25</v>
      </c>
    </row>
    <row r="193" spans="8:14" s="36" customFormat="1" x14ac:dyDescent="0.25">
      <c r="H193" s="104">
        <v>25</v>
      </c>
      <c r="I193" s="104"/>
      <c r="J193" s="104">
        <v>4</v>
      </c>
      <c r="K193" s="104">
        <v>4</v>
      </c>
      <c r="L193" s="104">
        <v>4</v>
      </c>
      <c r="M193" s="104">
        <v>4</v>
      </c>
      <c r="N193" s="104">
        <v>25</v>
      </c>
    </row>
    <row r="194" spans="8:14" s="36" customFormat="1" x14ac:dyDescent="0.25">
      <c r="H194" s="104">
        <v>25</v>
      </c>
      <c r="I194" s="104"/>
      <c r="J194" s="104">
        <v>3</v>
      </c>
      <c r="K194" s="104">
        <v>3</v>
      </c>
      <c r="L194" s="104">
        <v>3</v>
      </c>
      <c r="M194" s="104">
        <v>3</v>
      </c>
      <c r="N194" s="104">
        <v>25</v>
      </c>
    </row>
    <row r="195" spans="8:14" s="36" customFormat="1" x14ac:dyDescent="0.25">
      <c r="H195" s="104">
        <v>25</v>
      </c>
      <c r="I195" s="104"/>
      <c r="J195" s="104">
        <v>2</v>
      </c>
      <c r="K195" s="104">
        <v>2</v>
      </c>
      <c r="L195" s="104">
        <v>2</v>
      </c>
      <c r="M195" s="104">
        <v>2</v>
      </c>
      <c r="N195" s="104">
        <v>25</v>
      </c>
    </row>
    <row r="196" spans="8:14" s="36" customFormat="1" x14ac:dyDescent="0.25">
      <c r="H196" s="104">
        <v>25</v>
      </c>
      <c r="I196" s="104"/>
      <c r="J196" s="104">
        <v>1</v>
      </c>
      <c r="K196" s="104">
        <v>1</v>
      </c>
      <c r="L196" s="104">
        <v>1</v>
      </c>
      <c r="M196" s="104">
        <v>1</v>
      </c>
      <c r="N196" s="104">
        <v>25</v>
      </c>
    </row>
    <row r="197" spans="8:14" s="36" customFormat="1" ht="15.75" thickBot="1" x14ac:dyDescent="0.3">
      <c r="H197" s="105">
        <v>25</v>
      </c>
      <c r="I197" s="105"/>
      <c r="J197" s="105">
        <v>0</v>
      </c>
      <c r="K197" s="105">
        <v>0</v>
      </c>
      <c r="L197" s="105">
        <v>0</v>
      </c>
      <c r="M197" s="105">
        <v>0</v>
      </c>
      <c r="N197" s="105">
        <v>25</v>
      </c>
    </row>
    <row r="198" spans="8:14" s="36" customFormat="1" ht="15.75" thickBot="1" x14ac:dyDescent="0.3">
      <c r="H198" s="102" t="s">
        <v>105</v>
      </c>
      <c r="I198" s="106" t="s">
        <v>280</v>
      </c>
      <c r="J198" s="107" t="s">
        <v>281</v>
      </c>
      <c r="K198" s="107" t="s">
        <v>282</v>
      </c>
      <c r="L198" s="107" t="s">
        <v>283</v>
      </c>
      <c r="M198" s="108" t="s">
        <v>284</v>
      </c>
      <c r="N198" s="102" t="s">
        <v>105</v>
      </c>
    </row>
  </sheetData>
  <autoFilter ref="A13:F103"/>
  <mergeCells count="15">
    <mergeCell ref="I112:M112"/>
    <mergeCell ref="I106:N106"/>
    <mergeCell ref="AL19:AY19"/>
    <mergeCell ref="AL44:AY44"/>
    <mergeCell ref="AM13:AX13"/>
    <mergeCell ref="BA19:BN19"/>
    <mergeCell ref="BA44:BN44"/>
    <mergeCell ref="BB13:BM13"/>
    <mergeCell ref="D1:G1"/>
    <mergeCell ref="X13:AI13"/>
    <mergeCell ref="W19:AJ19"/>
    <mergeCell ref="W44:AJ44"/>
    <mergeCell ref="I13:T13"/>
    <mergeCell ref="H19:U19"/>
    <mergeCell ref="H44:U44"/>
  </mergeCells>
  <conditionalFormatting sqref="I17:T17">
    <cfRule type="containsText" dxfId="24" priority="17" operator="containsText" text="En riesgo">
      <formula>NOT(ISERROR(SEARCH("En riesgo",I17)))</formula>
    </cfRule>
  </conditionalFormatting>
  <conditionalFormatting sqref="I17:R17">
    <cfRule type="containsText" dxfId="23" priority="16" operator="containsText" text="Sin riesgo">
      <formula>NOT(ISERROR(SEARCH("Sin riesgo",I17)))</formula>
    </cfRule>
  </conditionalFormatting>
  <conditionalFormatting sqref="S18">
    <cfRule type="containsText" dxfId="22" priority="15" operator="containsText" text="Tendencia a mostrarse exageradamente libre de sintomas">
      <formula>NOT(ISERROR(SEARCH("Tendencia a mostrarse exageradamente libre de sintomas",S18)))</formula>
    </cfRule>
  </conditionalFormatting>
  <conditionalFormatting sqref="S17">
    <cfRule type="containsText" dxfId="21" priority="11" operator="containsText" text="Tendencia a mostrar malestar exagerado o dramatización">
      <formula>NOT(ISERROR(SEARCH("Tendencia a mostrar malestar exagerado o dramatización",S17)))</formula>
    </cfRule>
    <cfRule type="containsText" dxfId="20" priority="12" operator="containsText" text="Respuetas confiables">
      <formula>NOT(ISERROR(SEARCH("Respuetas confiables",S17)))</formula>
    </cfRule>
    <cfRule type="containsText" dxfId="19" priority="14" operator="containsText" text="Tendencia a mostrarse exageradamente libre de sintomas">
      <formula>NOT(ISERROR(SEARCH("Tendencia a mostrarse exageradamente libre de sintomas",S17)))</formula>
    </cfRule>
  </conditionalFormatting>
  <conditionalFormatting sqref="BS14:BS25">
    <cfRule type="containsText" dxfId="18" priority="10" operator="containsText" text="En riesgo">
      <formula>NOT(ISERROR(SEARCH("En riesgo",BS14)))</formula>
    </cfRule>
  </conditionalFormatting>
  <conditionalFormatting sqref="BS14:BS25">
    <cfRule type="containsText" dxfId="17" priority="9" operator="containsText" text="Sin riesgo">
      <formula>NOT(ISERROR(SEARCH("Sin riesgo",BS14)))</formula>
    </cfRule>
  </conditionalFormatting>
  <conditionalFormatting sqref="BS24">
    <cfRule type="containsText" dxfId="16" priority="6" operator="containsText" text="Tendencia a mostrar malestar exagerado o dramatización">
      <formula>NOT(ISERROR(SEARCH("Tendencia a mostrar malestar exagerado o dramatización",BS24)))</formula>
    </cfRule>
    <cfRule type="containsText" dxfId="15" priority="7" operator="containsText" text="Respuetas confiables">
      <formula>NOT(ISERROR(SEARCH("Respuetas confiables",BS24)))</formula>
    </cfRule>
    <cfRule type="containsText" dxfId="14" priority="8" operator="containsText" text="Tendencia a mostrarse exageradamente libre de sintomas">
      <formula>NOT(ISERROR(SEARCH("Tendencia a mostrarse exageradamente libre de sintomas",BS24)))</formula>
    </cfRule>
  </conditionalFormatting>
  <conditionalFormatting sqref="BS14:BS25">
    <cfRule type="containsText" dxfId="13" priority="5" operator="containsText" text="En riesgo">
      <formula>NOT(ISERROR(SEARCH("En riesgo",BS14)))</formula>
    </cfRule>
  </conditionalFormatting>
  <conditionalFormatting sqref="BS14:BS25">
    <cfRule type="containsText" dxfId="12" priority="4" operator="containsText" text="Sin riesgo">
      <formula>NOT(ISERROR(SEARCH("Sin riesgo",BS14)))</formula>
    </cfRule>
  </conditionalFormatting>
  <conditionalFormatting sqref="BS24">
    <cfRule type="containsText" dxfId="11" priority="1" operator="containsText" text="Tendencia a mostrar malestar exagerado o dramatización">
      <formula>NOT(ISERROR(SEARCH("Tendencia a mostrar malestar exagerado o dramatización",BS24)))</formula>
    </cfRule>
    <cfRule type="containsText" dxfId="10" priority="2" operator="containsText" text="Respuetas confiables">
      <formula>NOT(ISERROR(SEARCH("Respuetas confiables",BS24)))</formula>
    </cfRule>
    <cfRule type="containsText" dxfId="9" priority="3" operator="containsText" text="Tendencia a mostrarse exageradamente libre de sintomas">
      <formula>NOT(ISERROR(SEARCH("Tendencia a mostrarse exageradamente libre de sintomas",BS24)))</formula>
    </cfRule>
  </conditionalFormatting>
  <dataValidations count="1">
    <dataValidation type="list" allowBlank="1" showInputMessage="1" showErrorMessage="1" sqref="D1">
      <formula1>Baremo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6</xdr:col>
                <xdr:colOff>123825</xdr:colOff>
                <xdr:row>3</xdr:row>
                <xdr:rowOff>9525</xdr:rowOff>
              </from>
              <to>
                <xdr:col>7</xdr:col>
                <xdr:colOff>323850</xdr:colOff>
                <xdr:row>6</xdr:row>
                <xdr:rowOff>66675</xdr:rowOff>
              </to>
            </anchor>
          </controlPr>
        </control>
      </mc:Choice>
      <mc:Fallback>
        <control shapeId="205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149"/>
  <sheetViews>
    <sheetView topLeftCell="A128" workbookViewId="0">
      <selection activeCell="A148" sqref="A148"/>
    </sheetView>
  </sheetViews>
  <sheetFormatPr baseColWidth="10" defaultRowHeight="15" x14ac:dyDescent="0.25"/>
  <cols>
    <col min="1" max="1" width="87.5703125" bestFit="1" customWidth="1"/>
  </cols>
  <sheetData>
    <row r="1" spans="1:1" x14ac:dyDescent="0.25">
      <c r="A1" t="s">
        <v>111</v>
      </c>
    </row>
    <row r="2" spans="1:1" x14ac:dyDescent="0.25">
      <c r="A2" t="s">
        <v>112</v>
      </c>
    </row>
    <row r="3" spans="1:1" x14ac:dyDescent="0.25">
      <c r="A3">
        <v>-2008</v>
      </c>
    </row>
    <row r="4" spans="1:1" x14ac:dyDescent="0.25">
      <c r="A4" t="s">
        <v>113</v>
      </c>
    </row>
    <row r="5" spans="1:1" x14ac:dyDescent="0.25">
      <c r="A5" t="s">
        <v>114</v>
      </c>
    </row>
    <row r="6" spans="1:1" x14ac:dyDescent="0.25">
      <c r="A6" t="s">
        <v>115</v>
      </c>
    </row>
    <row r="7" spans="1:1" x14ac:dyDescent="0.25">
      <c r="A7" t="s">
        <v>116</v>
      </c>
    </row>
    <row r="8" spans="1:1" x14ac:dyDescent="0.25">
      <c r="A8" t="s">
        <v>117</v>
      </c>
    </row>
    <row r="9" spans="1:1" x14ac:dyDescent="0.25">
      <c r="A9" t="s">
        <v>118</v>
      </c>
    </row>
    <row r="10" spans="1:1" x14ac:dyDescent="0.25">
      <c r="A10" t="s">
        <v>119</v>
      </c>
    </row>
    <row r="11" spans="1:1" x14ac:dyDescent="0.25">
      <c r="A11" t="s">
        <v>120</v>
      </c>
    </row>
    <row r="12" spans="1:1" x14ac:dyDescent="0.25">
      <c r="A12" t="s">
        <v>121</v>
      </c>
    </row>
    <row r="13" spans="1:1" x14ac:dyDescent="0.25">
      <c r="A13" t="s">
        <v>122</v>
      </c>
    </row>
    <row r="14" spans="1:1" x14ac:dyDescent="0.25">
      <c r="A14" t="s">
        <v>123</v>
      </c>
    </row>
    <row r="15" spans="1:1" x14ac:dyDescent="0.25">
      <c r="A15" t="s">
        <v>124</v>
      </c>
    </row>
    <row r="16" spans="1:1" x14ac:dyDescent="0.25">
      <c r="A16" t="s">
        <v>125</v>
      </c>
    </row>
    <row r="17" spans="1:1" x14ac:dyDescent="0.25">
      <c r="A17" t="s">
        <v>126</v>
      </c>
    </row>
    <row r="18" spans="1:1" x14ac:dyDescent="0.25">
      <c r="A18" t="s">
        <v>127</v>
      </c>
    </row>
    <row r="19" spans="1:1" x14ac:dyDescent="0.25">
      <c r="A19" t="s">
        <v>128</v>
      </c>
    </row>
    <row r="20" spans="1:1" x14ac:dyDescent="0.25">
      <c r="A20" t="s">
        <v>129</v>
      </c>
    </row>
    <row r="21" spans="1:1" x14ac:dyDescent="0.25">
      <c r="A21" t="s">
        <v>130</v>
      </c>
    </row>
    <row r="22" spans="1:1" x14ac:dyDescent="0.25">
      <c r="A22" t="s">
        <v>131</v>
      </c>
    </row>
    <row r="23" spans="1:1" x14ac:dyDescent="0.25">
      <c r="A23" t="s">
        <v>132</v>
      </c>
    </row>
    <row r="24" spans="1:1" x14ac:dyDescent="0.25">
      <c r="A24" t="s">
        <v>133</v>
      </c>
    </row>
    <row r="25" spans="1:1" x14ac:dyDescent="0.25">
      <c r="A25" t="s">
        <v>134</v>
      </c>
    </row>
    <row r="26" spans="1:1" x14ac:dyDescent="0.25">
      <c r="A26" t="s">
        <v>135</v>
      </c>
    </row>
    <row r="27" spans="1:1" x14ac:dyDescent="0.25">
      <c r="A27" t="s">
        <v>136</v>
      </c>
    </row>
    <row r="28" spans="1:1" x14ac:dyDescent="0.25">
      <c r="A28" t="s">
        <v>137</v>
      </c>
    </row>
    <row r="29" spans="1:1" x14ac:dyDescent="0.25">
      <c r="A29" t="s">
        <v>138</v>
      </c>
    </row>
    <row r="30" spans="1:1" x14ac:dyDescent="0.25">
      <c r="A30" t="s">
        <v>139</v>
      </c>
    </row>
    <row r="31" spans="1:1" x14ac:dyDescent="0.25">
      <c r="A31" t="s">
        <v>140</v>
      </c>
    </row>
    <row r="32" spans="1:1" x14ac:dyDescent="0.25">
      <c r="A32" t="s">
        <v>141</v>
      </c>
    </row>
    <row r="33" spans="1:1" x14ac:dyDescent="0.25">
      <c r="A33" t="s">
        <v>142</v>
      </c>
    </row>
    <row r="34" spans="1:1" x14ac:dyDescent="0.25">
      <c r="A34" t="s">
        <v>143</v>
      </c>
    </row>
    <row r="35" spans="1:1" x14ac:dyDescent="0.25">
      <c r="A35" t="s">
        <v>144</v>
      </c>
    </row>
    <row r="36" spans="1:1" x14ac:dyDescent="0.25">
      <c r="A36" t="s">
        <v>145</v>
      </c>
    </row>
    <row r="37" spans="1:1" x14ac:dyDescent="0.25">
      <c r="A37" t="s">
        <v>146</v>
      </c>
    </row>
    <row r="38" spans="1:1" x14ac:dyDescent="0.25">
      <c r="A38" t="s">
        <v>147</v>
      </c>
    </row>
    <row r="39" spans="1:1" x14ac:dyDescent="0.25">
      <c r="A39" t="s">
        <v>148</v>
      </c>
    </row>
    <row r="40" spans="1:1" x14ac:dyDescent="0.25">
      <c r="A40" t="s">
        <v>149</v>
      </c>
    </row>
    <row r="41" spans="1:1" x14ac:dyDescent="0.25">
      <c r="A41" t="s">
        <v>150</v>
      </c>
    </row>
    <row r="42" spans="1:1" x14ac:dyDescent="0.25">
      <c r="A42" t="s">
        <v>151</v>
      </c>
    </row>
    <row r="43" spans="1:1" x14ac:dyDescent="0.25">
      <c r="A43" t="s">
        <v>152</v>
      </c>
    </row>
    <row r="44" spans="1:1" x14ac:dyDescent="0.25">
      <c r="A44" t="s">
        <v>153</v>
      </c>
    </row>
    <row r="45" spans="1:1" x14ac:dyDescent="0.25">
      <c r="A45" t="s">
        <v>154</v>
      </c>
    </row>
    <row r="46" spans="1:1" x14ac:dyDescent="0.25">
      <c r="A46" t="s">
        <v>155</v>
      </c>
    </row>
    <row r="47" spans="1:1" x14ac:dyDescent="0.25">
      <c r="A47" t="s">
        <v>156</v>
      </c>
    </row>
    <row r="48" spans="1:1" x14ac:dyDescent="0.25">
      <c r="A48" t="s">
        <v>157</v>
      </c>
    </row>
    <row r="49" spans="1:1" x14ac:dyDescent="0.25">
      <c r="A49" t="s">
        <v>158</v>
      </c>
    </row>
    <row r="50" spans="1:1" x14ac:dyDescent="0.25">
      <c r="A50">
        <v>2</v>
      </c>
    </row>
    <row r="51" spans="1:1" x14ac:dyDescent="0.25">
      <c r="A51" t="s">
        <v>159</v>
      </c>
    </row>
    <row r="52" spans="1:1" x14ac:dyDescent="0.25">
      <c r="A52" t="s">
        <v>160</v>
      </c>
    </row>
    <row r="53" spans="1:1" x14ac:dyDescent="0.25">
      <c r="A53" t="s">
        <v>161</v>
      </c>
    </row>
    <row r="54" spans="1:1" x14ac:dyDescent="0.25">
      <c r="A54" t="s">
        <v>162</v>
      </c>
    </row>
    <row r="55" spans="1:1" x14ac:dyDescent="0.25">
      <c r="A55" t="s">
        <v>163</v>
      </c>
    </row>
    <row r="56" spans="1:1" x14ac:dyDescent="0.25">
      <c r="A56" t="s">
        <v>164</v>
      </c>
    </row>
    <row r="57" spans="1:1" x14ac:dyDescent="0.25">
      <c r="A57" t="s">
        <v>165</v>
      </c>
    </row>
    <row r="58" spans="1:1" x14ac:dyDescent="0.25">
      <c r="A58" t="s">
        <v>166</v>
      </c>
    </row>
    <row r="59" spans="1:1" x14ac:dyDescent="0.25">
      <c r="A59" t="s">
        <v>167</v>
      </c>
    </row>
    <row r="60" spans="1:1" x14ac:dyDescent="0.25">
      <c r="A60" t="s">
        <v>168</v>
      </c>
    </row>
    <row r="61" spans="1:1" x14ac:dyDescent="0.25">
      <c r="A61" t="s">
        <v>169</v>
      </c>
    </row>
    <row r="62" spans="1:1" x14ac:dyDescent="0.25">
      <c r="A62" t="s">
        <v>170</v>
      </c>
    </row>
    <row r="63" spans="1:1" x14ac:dyDescent="0.25">
      <c r="A63" t="s">
        <v>171</v>
      </c>
    </row>
    <row r="64" spans="1:1" x14ac:dyDescent="0.25">
      <c r="A64" t="s">
        <v>172</v>
      </c>
    </row>
    <row r="65" spans="1:1" x14ac:dyDescent="0.25">
      <c r="A65" t="s">
        <v>173</v>
      </c>
    </row>
    <row r="66" spans="1:1" x14ac:dyDescent="0.25">
      <c r="A66" t="s">
        <v>174</v>
      </c>
    </row>
    <row r="67" spans="1:1" x14ac:dyDescent="0.25">
      <c r="A67" t="s">
        <v>175</v>
      </c>
    </row>
    <row r="68" spans="1:1" x14ac:dyDescent="0.25">
      <c r="A68" t="s">
        <v>176</v>
      </c>
    </row>
    <row r="69" spans="1:1" x14ac:dyDescent="0.25">
      <c r="A69" t="s">
        <v>177</v>
      </c>
    </row>
    <row r="70" spans="1:1" x14ac:dyDescent="0.25">
      <c r="A70" t="s">
        <v>178</v>
      </c>
    </row>
    <row r="71" spans="1:1" x14ac:dyDescent="0.25">
      <c r="A71" t="s">
        <v>179</v>
      </c>
    </row>
    <row r="72" spans="1:1" x14ac:dyDescent="0.25">
      <c r="A72" t="s">
        <v>180</v>
      </c>
    </row>
    <row r="73" spans="1:1" x14ac:dyDescent="0.25">
      <c r="A73" t="s">
        <v>181</v>
      </c>
    </row>
    <row r="74" spans="1:1" x14ac:dyDescent="0.25">
      <c r="A74" t="s">
        <v>182</v>
      </c>
    </row>
    <row r="75" spans="1:1" x14ac:dyDescent="0.25">
      <c r="A75" t="s">
        <v>183</v>
      </c>
    </row>
    <row r="76" spans="1:1" x14ac:dyDescent="0.25">
      <c r="A76" t="s">
        <v>184</v>
      </c>
    </row>
    <row r="77" spans="1:1" x14ac:dyDescent="0.25">
      <c r="A77" t="s">
        <v>185</v>
      </c>
    </row>
    <row r="78" spans="1:1" x14ac:dyDescent="0.25">
      <c r="A78" t="s">
        <v>186</v>
      </c>
    </row>
    <row r="79" spans="1:1" x14ac:dyDescent="0.25">
      <c r="A79" t="s">
        <v>187</v>
      </c>
    </row>
    <row r="80" spans="1:1" x14ac:dyDescent="0.25">
      <c r="A80" t="s">
        <v>188</v>
      </c>
    </row>
    <row r="81" spans="1:1" x14ac:dyDescent="0.25">
      <c r="A81" t="s">
        <v>189</v>
      </c>
    </row>
    <row r="82" spans="1:1" x14ac:dyDescent="0.25">
      <c r="A82" t="s">
        <v>190</v>
      </c>
    </row>
    <row r="83" spans="1:1" x14ac:dyDescent="0.25">
      <c r="A83" t="s">
        <v>191</v>
      </c>
    </row>
    <row r="84" spans="1:1" x14ac:dyDescent="0.25">
      <c r="A84" t="s">
        <v>192</v>
      </c>
    </row>
    <row r="85" spans="1:1" x14ac:dyDescent="0.25">
      <c r="A85" t="s">
        <v>193</v>
      </c>
    </row>
    <row r="86" spans="1:1" x14ac:dyDescent="0.25">
      <c r="A86" t="s">
        <v>194</v>
      </c>
    </row>
    <row r="87" spans="1:1" x14ac:dyDescent="0.25">
      <c r="A87" t="s">
        <v>195</v>
      </c>
    </row>
    <row r="88" spans="1:1" x14ac:dyDescent="0.25">
      <c r="A88" t="s">
        <v>196</v>
      </c>
    </row>
    <row r="89" spans="1:1" x14ac:dyDescent="0.25">
      <c r="A89" t="s">
        <v>197</v>
      </c>
    </row>
    <row r="90" spans="1:1" x14ac:dyDescent="0.25">
      <c r="A90" t="s">
        <v>198</v>
      </c>
    </row>
    <row r="91" spans="1:1" x14ac:dyDescent="0.25">
      <c r="A91" t="s">
        <v>199</v>
      </c>
    </row>
    <row r="92" spans="1:1" x14ac:dyDescent="0.25">
      <c r="A92" t="s">
        <v>200</v>
      </c>
    </row>
    <row r="93" spans="1:1" x14ac:dyDescent="0.25">
      <c r="A93" t="s">
        <v>201</v>
      </c>
    </row>
    <row r="94" spans="1:1" x14ac:dyDescent="0.25">
      <c r="A94" t="s">
        <v>202</v>
      </c>
    </row>
    <row r="95" spans="1:1" x14ac:dyDescent="0.25">
      <c r="A95" t="s">
        <v>203</v>
      </c>
    </row>
    <row r="96" spans="1:1" x14ac:dyDescent="0.25">
      <c r="A96" t="s">
        <v>204</v>
      </c>
    </row>
    <row r="97" spans="1:1" x14ac:dyDescent="0.25">
      <c r="A97" t="s">
        <v>156</v>
      </c>
    </row>
    <row r="98" spans="1:1" x14ac:dyDescent="0.25">
      <c r="A98" t="s">
        <v>157</v>
      </c>
    </row>
    <row r="99" spans="1:1" x14ac:dyDescent="0.25">
      <c r="A99" t="s">
        <v>158</v>
      </c>
    </row>
    <row r="100" spans="1:1" x14ac:dyDescent="0.25">
      <c r="A100">
        <v>3</v>
      </c>
    </row>
    <row r="101" spans="1:1" x14ac:dyDescent="0.25">
      <c r="A101" t="s">
        <v>205</v>
      </c>
    </row>
    <row r="102" spans="1:1" x14ac:dyDescent="0.25">
      <c r="A102" t="s">
        <v>206</v>
      </c>
    </row>
    <row r="103" spans="1:1" x14ac:dyDescent="0.25">
      <c r="A103" t="s">
        <v>207</v>
      </c>
    </row>
    <row r="104" spans="1:1" x14ac:dyDescent="0.25">
      <c r="A104" t="s">
        <v>208</v>
      </c>
    </row>
    <row r="105" spans="1:1" x14ac:dyDescent="0.25">
      <c r="A105" t="s">
        <v>209</v>
      </c>
    </row>
    <row r="106" spans="1:1" x14ac:dyDescent="0.25">
      <c r="A106" t="s">
        <v>210</v>
      </c>
    </row>
    <row r="107" spans="1:1" x14ac:dyDescent="0.25">
      <c r="A107" t="s">
        <v>211</v>
      </c>
    </row>
    <row r="108" spans="1:1" x14ac:dyDescent="0.25">
      <c r="A108" t="s">
        <v>212</v>
      </c>
    </row>
    <row r="109" spans="1:1" x14ac:dyDescent="0.25">
      <c r="A109" t="s">
        <v>213</v>
      </c>
    </row>
    <row r="110" spans="1:1" x14ac:dyDescent="0.25">
      <c r="A110" t="s">
        <v>214</v>
      </c>
    </row>
    <row r="111" spans="1:1" x14ac:dyDescent="0.25">
      <c r="A111" t="s">
        <v>215</v>
      </c>
    </row>
    <row r="112" spans="1:1" x14ac:dyDescent="0.25">
      <c r="A112" t="s">
        <v>216</v>
      </c>
    </row>
    <row r="113" spans="1:1" x14ac:dyDescent="0.25">
      <c r="A113" t="s">
        <v>217</v>
      </c>
    </row>
    <row r="114" spans="1:1" x14ac:dyDescent="0.25">
      <c r="A114" t="s">
        <v>218</v>
      </c>
    </row>
    <row r="115" spans="1:1" x14ac:dyDescent="0.25">
      <c r="A115" t="s">
        <v>219</v>
      </c>
    </row>
    <row r="116" spans="1:1" x14ac:dyDescent="0.25">
      <c r="A116" t="s">
        <v>220</v>
      </c>
    </row>
    <row r="117" spans="1:1" x14ac:dyDescent="0.25">
      <c r="A117" t="s">
        <v>221</v>
      </c>
    </row>
    <row r="118" spans="1:1" x14ac:dyDescent="0.25">
      <c r="A118" t="s">
        <v>222</v>
      </c>
    </row>
    <row r="119" spans="1:1" x14ac:dyDescent="0.25">
      <c r="A119" t="s">
        <v>223</v>
      </c>
    </row>
    <row r="120" spans="1:1" x14ac:dyDescent="0.25">
      <c r="A120" t="s">
        <v>224</v>
      </c>
    </row>
    <row r="121" spans="1:1" x14ac:dyDescent="0.25">
      <c r="A121" t="s">
        <v>225</v>
      </c>
    </row>
    <row r="122" spans="1:1" x14ac:dyDescent="0.25">
      <c r="A122" t="s">
        <v>226</v>
      </c>
    </row>
    <row r="123" spans="1:1" x14ac:dyDescent="0.25">
      <c r="A123" t="s">
        <v>227</v>
      </c>
    </row>
    <row r="124" spans="1:1" x14ac:dyDescent="0.25">
      <c r="A124" t="s">
        <v>228</v>
      </c>
    </row>
    <row r="125" spans="1:1" x14ac:dyDescent="0.25">
      <c r="A125" t="s">
        <v>229</v>
      </c>
    </row>
    <row r="126" spans="1:1" x14ac:dyDescent="0.25">
      <c r="A126" t="s">
        <v>230</v>
      </c>
    </row>
    <row r="127" spans="1:1" x14ac:dyDescent="0.25">
      <c r="A127" t="s">
        <v>231</v>
      </c>
    </row>
    <row r="128" spans="1:1" x14ac:dyDescent="0.25">
      <c r="A128" t="s">
        <v>232</v>
      </c>
    </row>
    <row r="129" spans="1:1" x14ac:dyDescent="0.25">
      <c r="A129" t="s">
        <v>233</v>
      </c>
    </row>
    <row r="130" spans="1:1" x14ac:dyDescent="0.25">
      <c r="A130" t="s">
        <v>234</v>
      </c>
    </row>
    <row r="131" spans="1:1" x14ac:dyDescent="0.25">
      <c r="A131" t="s">
        <v>235</v>
      </c>
    </row>
    <row r="132" spans="1:1" x14ac:dyDescent="0.25">
      <c r="A132" t="s">
        <v>236</v>
      </c>
    </row>
    <row r="133" spans="1:1" x14ac:dyDescent="0.25">
      <c r="A133" t="s">
        <v>237</v>
      </c>
    </row>
    <row r="134" spans="1:1" x14ac:dyDescent="0.25">
      <c r="A134" t="s">
        <v>238</v>
      </c>
    </row>
    <row r="135" spans="1:1" x14ac:dyDescent="0.25">
      <c r="A135" t="s">
        <v>239</v>
      </c>
    </row>
    <row r="136" spans="1:1" x14ac:dyDescent="0.25">
      <c r="A136" t="s">
        <v>240</v>
      </c>
    </row>
    <row r="137" spans="1:1" x14ac:dyDescent="0.25">
      <c r="A137" t="s">
        <v>241</v>
      </c>
    </row>
    <row r="138" spans="1:1" x14ac:dyDescent="0.25">
      <c r="A138" t="s">
        <v>242</v>
      </c>
    </row>
    <row r="139" spans="1:1" x14ac:dyDescent="0.25">
      <c r="A139" t="s">
        <v>243</v>
      </c>
    </row>
    <row r="140" spans="1:1" x14ac:dyDescent="0.25">
      <c r="A140" t="s">
        <v>244</v>
      </c>
    </row>
    <row r="141" spans="1:1" x14ac:dyDescent="0.25">
      <c r="A141" t="s">
        <v>245</v>
      </c>
    </row>
    <row r="142" spans="1:1" x14ac:dyDescent="0.25">
      <c r="A142" t="s">
        <v>246</v>
      </c>
    </row>
    <row r="143" spans="1:1" x14ac:dyDescent="0.25">
      <c r="A143" t="s">
        <v>247</v>
      </c>
    </row>
    <row r="144" spans="1:1" x14ac:dyDescent="0.25">
      <c r="A144" t="s">
        <v>248</v>
      </c>
    </row>
    <row r="145" spans="1:1" x14ac:dyDescent="0.25">
      <c r="A145" t="s">
        <v>249</v>
      </c>
    </row>
    <row r="146" spans="1:1" x14ac:dyDescent="0.25">
      <c r="A146" t="s">
        <v>250</v>
      </c>
    </row>
    <row r="149" spans="1:1" ht="105" x14ac:dyDescent="0.25">
      <c r="A149" s="6" t="s">
        <v>263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"/>
  <sheetViews>
    <sheetView workbookViewId="0">
      <selection activeCell="E9" sqref="E9"/>
    </sheetView>
  </sheetViews>
  <sheetFormatPr baseColWidth="10" defaultRowHeight="15" x14ac:dyDescent="0.25"/>
  <sheetData>
    <row r="1" spans="1:1" x14ac:dyDescent="0.25">
      <c r="A1" t="s">
        <v>299</v>
      </c>
    </row>
    <row r="2" spans="1:1" x14ac:dyDescent="0.25">
      <c r="A2" t="s">
        <v>265</v>
      </c>
    </row>
    <row r="3" spans="1:1" x14ac:dyDescent="0.25">
      <c r="A3" t="s">
        <v>266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B2"/>
  <sheetViews>
    <sheetView topLeftCell="K1" workbookViewId="0">
      <selection activeCell="M11" sqref="M11"/>
    </sheetView>
  </sheetViews>
  <sheetFormatPr baseColWidth="10" defaultRowHeight="15" x14ac:dyDescent="0.25"/>
  <cols>
    <col min="1" max="1" width="12" customWidth="1"/>
    <col min="2" max="2" width="17.7109375" customWidth="1"/>
    <col min="3" max="4" width="12" customWidth="1"/>
    <col min="5" max="5" width="13.85546875" customWidth="1"/>
    <col min="6" max="9" width="12" customWidth="1"/>
    <col min="10" max="15" width="13" customWidth="1"/>
    <col min="16" max="16" width="20.42578125" customWidth="1"/>
    <col min="17" max="28" width="13" customWidth="1"/>
  </cols>
  <sheetData>
    <row r="1" spans="1:28" x14ac:dyDescent="0.25">
      <c r="A1" s="151" t="s">
        <v>304</v>
      </c>
      <c r="B1" s="151"/>
      <c r="C1" s="151"/>
      <c r="D1" s="152"/>
      <c r="E1" s="142" t="s">
        <v>302</v>
      </c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4"/>
      <c r="Q1" s="145" t="s">
        <v>301</v>
      </c>
      <c r="R1" s="146"/>
      <c r="S1" s="146"/>
      <c r="T1" s="146"/>
      <c r="U1" s="147"/>
      <c r="V1" s="148" t="s">
        <v>305</v>
      </c>
      <c r="W1" s="149"/>
      <c r="X1" s="149"/>
      <c r="Y1" s="149"/>
      <c r="Z1" s="149"/>
      <c r="AA1" s="149"/>
      <c r="AB1" s="150"/>
    </row>
    <row r="2" spans="1:28" s="22" customFormat="1" x14ac:dyDescent="0.25">
      <c r="A2" s="23" t="s">
        <v>277</v>
      </c>
      <c r="B2" s="23" t="s">
        <v>278</v>
      </c>
      <c r="C2" s="23" t="s">
        <v>300</v>
      </c>
      <c r="D2" s="23" t="s">
        <v>279</v>
      </c>
      <c r="E2" s="24" t="s">
        <v>91</v>
      </c>
      <c r="F2" s="24" t="s">
        <v>92</v>
      </c>
      <c r="G2" s="24" t="s">
        <v>93</v>
      </c>
      <c r="H2" s="24" t="s">
        <v>94</v>
      </c>
      <c r="I2" s="24" t="s">
        <v>95</v>
      </c>
      <c r="J2" s="24" t="s">
        <v>96</v>
      </c>
      <c r="K2" s="24" t="s">
        <v>97</v>
      </c>
      <c r="L2" s="24" t="s">
        <v>98</v>
      </c>
      <c r="M2" s="24" t="s">
        <v>99</v>
      </c>
      <c r="N2" s="24" t="s">
        <v>101</v>
      </c>
      <c r="O2" s="24" t="s">
        <v>109</v>
      </c>
      <c r="P2" s="24" t="s">
        <v>110</v>
      </c>
      <c r="Q2" s="24" t="s">
        <v>280</v>
      </c>
      <c r="R2" s="24" t="s">
        <v>281</v>
      </c>
      <c r="S2" s="24" t="s">
        <v>282</v>
      </c>
      <c r="T2" s="24" t="s">
        <v>283</v>
      </c>
      <c r="U2" s="24" t="s">
        <v>284</v>
      </c>
      <c r="V2" s="24" t="s">
        <v>288</v>
      </c>
      <c r="W2" s="24" t="s">
        <v>289</v>
      </c>
      <c r="X2" s="24" t="s">
        <v>290</v>
      </c>
      <c r="Y2" s="24" t="s">
        <v>291</v>
      </c>
      <c r="Z2" s="24" t="s">
        <v>292</v>
      </c>
      <c r="AA2" s="24" t="s">
        <v>293</v>
      </c>
      <c r="AB2" s="24" t="s">
        <v>295</v>
      </c>
    </row>
  </sheetData>
  <mergeCells count="4">
    <mergeCell ref="E1:P1"/>
    <mergeCell ref="Q1:U1"/>
    <mergeCell ref="V1:AB1"/>
    <mergeCell ref="A1:D1"/>
  </mergeCells>
  <conditionalFormatting sqref="E2:N2">
    <cfRule type="containsText" dxfId="8" priority="8" operator="containsText" text="Sin riesgo">
      <formula>NOT(ISERROR(SEARCH("Sin riesgo",E2)))</formula>
    </cfRule>
    <cfRule type="containsText" dxfId="7" priority="9" operator="containsText" text="En riesgo">
      <formula>NOT(ISERROR(SEARCH("En riesgo",E2)))</formula>
    </cfRule>
  </conditionalFormatting>
  <conditionalFormatting sqref="O2">
    <cfRule type="containsText" dxfId="6" priority="5" operator="containsText" text="Respuetas confiables">
      <formula>NOT(ISERROR(SEARCH("Respuetas confiables",O2)))</formula>
    </cfRule>
    <cfRule type="containsText" dxfId="5" priority="6" operator="containsText" text="Tendencia a mostrar malestar exagerado o dramatización">
      <formula>NOT(ISERROR(SEARCH("Tendencia a mostrar malestar exagerado o dramatización",O2)))</formula>
    </cfRule>
    <cfRule type="containsText" dxfId="4" priority="7" operator="containsText" text="Tendencia a mostrarse exageradamente libre de sintomas">
      <formula>NOT(ISERROR(SEARCH("Tendencia a mostrarse exageradamente libre de sintomas",O2)))</formula>
    </cfRule>
  </conditionalFormatting>
  <conditionalFormatting sqref="P2">
    <cfRule type="containsText" dxfId="3" priority="1" operator="containsText" text="Respuestas confiables">
      <formula>NOT(ISERROR(SEARCH("Respuestas confiables",P2)))</formula>
    </cfRule>
    <cfRule type="containsText" dxfId="2" priority="2" operator="containsText" text="Dramtismo extremo">
      <formula>NOT(ISERROR(SEARCH("Dramtismo extremo",P2)))</formula>
    </cfRule>
    <cfRule type="containsText" dxfId="1" priority="3" operator="containsText" text="Dramatismo">
      <formula>NOT(ISERROR(SEARCH("Dramatismo",P2)))</formula>
    </cfRule>
    <cfRule type="containsText" dxfId="0" priority="4" operator="containsText" text="Tendencia a mostrarse libre de problemas psicológicos">
      <formula>NOT(ISERROR(SEARCH("Tendencia a mostrarse libre de problemas psicológicos",P2)))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6"/>
  <sheetViews>
    <sheetView workbookViewId="0">
      <selection activeCell="G2" sqref="A2:G3"/>
    </sheetView>
  </sheetViews>
  <sheetFormatPr baseColWidth="10" defaultRowHeight="11.25" x14ac:dyDescent="0.2"/>
  <cols>
    <col min="1" max="1" width="14" style="32" bestFit="1" customWidth="1"/>
    <col min="2" max="2" width="9.7109375" style="31" customWidth="1"/>
    <col min="3" max="3" width="21.7109375" style="31" bestFit="1" customWidth="1"/>
    <col min="4" max="4" width="21.7109375" style="34" customWidth="1"/>
    <col min="5" max="5" width="9.5703125" style="32" bestFit="1" customWidth="1"/>
    <col min="6" max="6" width="25" style="31" customWidth="1"/>
    <col min="7" max="7" width="12.28515625" style="31" customWidth="1"/>
    <col min="8" max="8" width="8.85546875" style="31" customWidth="1"/>
    <col min="9" max="10" width="9" style="31" customWidth="1"/>
    <col min="11" max="11" width="8.5703125" style="31" customWidth="1"/>
    <col min="12" max="12" width="11" style="31" bestFit="1" customWidth="1"/>
    <col min="13" max="13" width="34" style="31" hidden="1" customWidth="1"/>
    <col min="14" max="14" width="10.42578125" style="31" customWidth="1"/>
    <col min="15" max="21" width="24.7109375" style="31" customWidth="1"/>
    <col min="22" max="16384" width="11.42578125" style="31"/>
  </cols>
  <sheetData>
    <row r="1" spans="1:14" ht="17.25" customHeight="1" x14ac:dyDescent="0.2">
      <c r="A1" s="25" t="s">
        <v>317</v>
      </c>
      <c r="B1" s="26" t="s">
        <v>277</v>
      </c>
      <c r="C1" s="27" t="s">
        <v>315</v>
      </c>
      <c r="D1" s="33" t="s">
        <v>314</v>
      </c>
      <c r="E1" s="28" t="s">
        <v>300</v>
      </c>
      <c r="F1" s="27" t="s">
        <v>279</v>
      </c>
      <c r="G1" s="27" t="s">
        <v>306</v>
      </c>
      <c r="H1" s="27" t="s">
        <v>307</v>
      </c>
      <c r="I1" s="29" t="s">
        <v>308</v>
      </c>
      <c r="J1" s="29" t="s">
        <v>309</v>
      </c>
      <c r="K1" s="29" t="s">
        <v>310</v>
      </c>
      <c r="L1" s="30" t="s">
        <v>311</v>
      </c>
      <c r="M1" s="30" t="s">
        <v>312</v>
      </c>
      <c r="N1" s="30" t="s">
        <v>313</v>
      </c>
    </row>
    <row r="2" spans="1:14" ht="17.25" customHeight="1" x14ac:dyDescent="0.2">
      <c r="D2" s="31"/>
      <c r="E2" s="110"/>
      <c r="G2" s="118"/>
    </row>
    <row r="3" spans="1:14" ht="17.25" customHeight="1" x14ac:dyDescent="0.25">
      <c r="B3" s="119"/>
      <c r="D3" s="31"/>
      <c r="E3" s="110"/>
      <c r="G3" s="117"/>
    </row>
    <row r="4" spans="1:14" ht="17.25" customHeight="1" x14ac:dyDescent="0.2">
      <c r="D4" s="35"/>
      <c r="E4" s="31"/>
    </row>
    <row r="5" spans="1:14" ht="17.25" customHeight="1" x14ac:dyDescent="0.2">
      <c r="D5" s="35"/>
      <c r="E5" s="31"/>
    </row>
    <row r="6" spans="1:14" ht="17.25" customHeight="1" x14ac:dyDescent="0.2">
      <c r="D6" s="35"/>
      <c r="E6" s="31"/>
    </row>
    <row r="7" spans="1:14" ht="17.25" customHeight="1" x14ac:dyDescent="0.2">
      <c r="D7" s="35"/>
      <c r="E7" s="31"/>
    </row>
    <row r="8" spans="1:14" ht="17.25" customHeight="1" x14ac:dyDescent="0.2">
      <c r="D8" s="35"/>
      <c r="E8" s="31"/>
    </row>
    <row r="9" spans="1:14" ht="17.25" customHeight="1" x14ac:dyDescent="0.2">
      <c r="D9" s="35"/>
      <c r="E9" s="31"/>
    </row>
    <row r="10" spans="1:14" ht="17.25" customHeight="1" x14ac:dyDescent="0.2">
      <c r="D10" s="35"/>
      <c r="E10" s="31"/>
    </row>
    <row r="11" spans="1:14" ht="17.25" customHeight="1" x14ac:dyDescent="0.2">
      <c r="D11" s="35"/>
      <c r="E11" s="31"/>
    </row>
    <row r="12" spans="1:14" ht="17.25" customHeight="1" x14ac:dyDescent="0.2">
      <c r="D12" s="35"/>
      <c r="E12" s="31"/>
    </row>
    <row r="13" spans="1:14" ht="17.25" customHeight="1" x14ac:dyDescent="0.2">
      <c r="D13" s="35"/>
      <c r="E13" s="31"/>
    </row>
    <row r="14" spans="1:14" ht="17.25" customHeight="1" x14ac:dyDescent="0.2">
      <c r="D14" s="35"/>
      <c r="E14" s="31"/>
    </row>
    <row r="15" spans="1:14" ht="17.25" customHeight="1" x14ac:dyDescent="0.2">
      <c r="D15" s="35"/>
      <c r="E15" s="31"/>
    </row>
    <row r="16" spans="1:14" ht="17.25" customHeight="1" x14ac:dyDescent="0.2">
      <c r="D16" s="35"/>
      <c r="E16" s="31"/>
    </row>
    <row r="17" spans="4:5" ht="17.25" customHeight="1" x14ac:dyDescent="0.2">
      <c r="D17" s="35"/>
      <c r="E17" s="31"/>
    </row>
    <row r="18" spans="4:5" ht="17.25" customHeight="1" x14ac:dyDescent="0.2">
      <c r="D18" s="35"/>
      <c r="E18" s="31"/>
    </row>
    <row r="19" spans="4:5" ht="17.25" customHeight="1" x14ac:dyDescent="0.2">
      <c r="D19" s="35"/>
      <c r="E19" s="31"/>
    </row>
    <row r="20" spans="4:5" ht="17.25" customHeight="1" x14ac:dyDescent="0.2">
      <c r="D20" s="35"/>
      <c r="E20" s="31"/>
    </row>
    <row r="21" spans="4:5" x14ac:dyDescent="0.2">
      <c r="D21" s="35"/>
    </row>
    <row r="22" spans="4:5" x14ac:dyDescent="0.2">
      <c r="D22" s="35"/>
    </row>
    <row r="23" spans="4:5" x14ac:dyDescent="0.2">
      <c r="D23" s="35"/>
    </row>
    <row r="24" spans="4:5" x14ac:dyDescent="0.2">
      <c r="D24" s="35"/>
    </row>
    <row r="25" spans="4:5" x14ac:dyDescent="0.2">
      <c r="D25" s="35"/>
    </row>
    <row r="26" spans="4:5" x14ac:dyDescent="0.2">
      <c r="D26" s="35"/>
    </row>
    <row r="27" spans="4:5" x14ac:dyDescent="0.2">
      <c r="D27" s="35"/>
    </row>
    <row r="28" spans="4:5" x14ac:dyDescent="0.2">
      <c r="D28" s="35"/>
    </row>
    <row r="29" spans="4:5" x14ac:dyDescent="0.2">
      <c r="D29" s="35"/>
    </row>
    <row r="30" spans="4:5" x14ac:dyDescent="0.2">
      <c r="D30" s="35"/>
    </row>
    <row r="31" spans="4:5" x14ac:dyDescent="0.2">
      <c r="D31" s="35"/>
    </row>
    <row r="32" spans="4:5" x14ac:dyDescent="0.2">
      <c r="D32" s="35"/>
    </row>
    <row r="33" spans="4:4" x14ac:dyDescent="0.2">
      <c r="D33" s="35"/>
    </row>
    <row r="34" spans="4:4" x14ac:dyDescent="0.2">
      <c r="D34" s="35"/>
    </row>
    <row r="35" spans="4:4" x14ac:dyDescent="0.2">
      <c r="D35" s="35"/>
    </row>
    <row r="36" spans="4:4" x14ac:dyDescent="0.2">
      <c r="D36" s="35"/>
    </row>
    <row r="37" spans="4:4" x14ac:dyDescent="0.2">
      <c r="D37" s="35"/>
    </row>
    <row r="38" spans="4:4" x14ac:dyDescent="0.2">
      <c r="D38" s="35"/>
    </row>
    <row r="39" spans="4:4" x14ac:dyDescent="0.2">
      <c r="D39" s="35"/>
    </row>
    <row r="40" spans="4:4" x14ac:dyDescent="0.2">
      <c r="D40" s="35"/>
    </row>
    <row r="41" spans="4:4" x14ac:dyDescent="0.2">
      <c r="D41" s="35"/>
    </row>
    <row r="42" spans="4:4" x14ac:dyDescent="0.2">
      <c r="D42" s="35"/>
    </row>
    <row r="43" spans="4:4" x14ac:dyDescent="0.2">
      <c r="D43" s="35"/>
    </row>
    <row r="44" spans="4:4" x14ac:dyDescent="0.2">
      <c r="D44" s="35"/>
    </row>
    <row r="45" spans="4:4" x14ac:dyDescent="0.2">
      <c r="D45" s="35"/>
    </row>
    <row r="46" spans="4:4" x14ac:dyDescent="0.2">
      <c r="D46" s="3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AD27"/>
  <sheetViews>
    <sheetView workbookViewId="0">
      <selection activeCell="B2" sqref="B2:O2"/>
    </sheetView>
  </sheetViews>
  <sheetFormatPr baseColWidth="10" defaultRowHeight="15" x14ac:dyDescent="0.25"/>
  <cols>
    <col min="16" max="16" width="11.85546875" bestFit="1" customWidth="1"/>
  </cols>
  <sheetData>
    <row r="1" spans="2:30" ht="15.75" thickBot="1" x14ac:dyDescent="0.3"/>
    <row r="2" spans="2:30" ht="15.75" thickBot="1" x14ac:dyDescent="0.3">
      <c r="B2" s="124" t="s">
        <v>356</v>
      </c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6"/>
      <c r="Q2" s="133" t="s">
        <v>106</v>
      </c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5"/>
    </row>
    <row r="3" spans="2:30" ht="15.75" thickBot="1" x14ac:dyDescent="0.3">
      <c r="B3" s="70" t="s">
        <v>108</v>
      </c>
      <c r="C3" s="71" t="s">
        <v>91</v>
      </c>
      <c r="D3" s="71" t="s">
        <v>92</v>
      </c>
      <c r="E3" s="71" t="s">
        <v>107</v>
      </c>
      <c r="F3" s="71" t="s">
        <v>94</v>
      </c>
      <c r="G3" s="71" t="s">
        <v>95</v>
      </c>
      <c r="H3" s="71" t="s">
        <v>96</v>
      </c>
      <c r="I3" s="71" t="s">
        <v>97</v>
      </c>
      <c r="J3" s="71" t="s">
        <v>98</v>
      </c>
      <c r="K3" s="71" t="s">
        <v>99</v>
      </c>
      <c r="L3" s="71" t="s">
        <v>101</v>
      </c>
      <c r="M3" s="71" t="s">
        <v>109</v>
      </c>
      <c r="N3" s="71" t="s">
        <v>110</v>
      </c>
      <c r="O3" s="72" t="s">
        <v>108</v>
      </c>
      <c r="Q3" s="70" t="s">
        <v>108</v>
      </c>
      <c r="R3" s="71" t="s">
        <v>91</v>
      </c>
      <c r="S3" s="71" t="s">
        <v>92</v>
      </c>
      <c r="T3" s="71" t="s">
        <v>107</v>
      </c>
      <c r="U3" s="71" t="s">
        <v>94</v>
      </c>
      <c r="V3" s="71" t="s">
        <v>95</v>
      </c>
      <c r="W3" s="71" t="s">
        <v>96</v>
      </c>
      <c r="X3" s="71" t="s">
        <v>97</v>
      </c>
      <c r="Y3" s="71" t="s">
        <v>98</v>
      </c>
      <c r="Z3" s="71" t="s">
        <v>99</v>
      </c>
      <c r="AA3" s="71" t="s">
        <v>101</v>
      </c>
      <c r="AB3" s="71" t="s">
        <v>109</v>
      </c>
      <c r="AC3" s="71" t="s">
        <v>110</v>
      </c>
      <c r="AD3" s="72" t="s">
        <v>108</v>
      </c>
    </row>
    <row r="4" spans="2:30" x14ac:dyDescent="0.25">
      <c r="B4" s="82">
        <v>30</v>
      </c>
      <c r="C4" s="83">
        <v>0</v>
      </c>
      <c r="D4" s="83">
        <v>0</v>
      </c>
      <c r="E4" s="83">
        <v>0</v>
      </c>
      <c r="F4" s="83">
        <v>0.05</v>
      </c>
      <c r="G4" s="83">
        <v>0</v>
      </c>
      <c r="H4" s="83">
        <v>0</v>
      </c>
      <c r="I4" s="83">
        <v>0</v>
      </c>
      <c r="J4" s="83">
        <v>0</v>
      </c>
      <c r="K4" s="83">
        <v>0</v>
      </c>
      <c r="L4" s="83">
        <v>0.15</v>
      </c>
      <c r="M4" s="83">
        <v>9</v>
      </c>
      <c r="N4" s="83">
        <v>1.1200000000000001</v>
      </c>
      <c r="O4" s="84">
        <v>30</v>
      </c>
      <c r="Q4" s="82">
        <v>30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3">
        <v>0</v>
      </c>
      <c r="X4" s="83">
        <v>0</v>
      </c>
      <c r="Y4" s="83">
        <v>0</v>
      </c>
      <c r="Z4" s="83">
        <v>0</v>
      </c>
      <c r="AA4" s="83">
        <v>0.11</v>
      </c>
      <c r="AB4" s="83">
        <v>5.6</v>
      </c>
      <c r="AC4" s="83">
        <v>1.05</v>
      </c>
      <c r="AD4" s="84">
        <v>30</v>
      </c>
    </row>
    <row r="5" spans="2:30" x14ac:dyDescent="0.25">
      <c r="B5" s="82">
        <f>+(-B4+B6)/2+B4</f>
        <v>32.5</v>
      </c>
      <c r="C5" s="83">
        <f>+(-C4+C6)/2+C4</f>
        <v>8.5000000000000006E-2</v>
      </c>
      <c r="D5" s="83">
        <f>+(-D4+D6)/2+D4</f>
        <v>0.1</v>
      </c>
      <c r="E5" s="83">
        <f t="shared" ref="E5:O5" si="0">+(-E4+E6)/2+E4</f>
        <v>5.5E-2</v>
      </c>
      <c r="F5" s="83">
        <f t="shared" si="0"/>
        <v>0.14000000000000001</v>
      </c>
      <c r="G5" s="83">
        <f t="shared" si="0"/>
        <v>0.1</v>
      </c>
      <c r="H5" s="83">
        <f t="shared" si="0"/>
        <v>0</v>
      </c>
      <c r="I5" s="83">
        <f t="shared" si="0"/>
        <v>0</v>
      </c>
      <c r="J5" s="83">
        <f t="shared" si="0"/>
        <v>0</v>
      </c>
      <c r="K5" s="83">
        <f t="shared" si="0"/>
        <v>0</v>
      </c>
      <c r="L5" s="83">
        <f t="shared" si="0"/>
        <v>0.21500000000000002</v>
      </c>
      <c r="M5" s="83">
        <f t="shared" si="0"/>
        <v>12</v>
      </c>
      <c r="N5" s="83">
        <f t="shared" si="0"/>
        <v>1.1850000000000001</v>
      </c>
      <c r="O5" s="84">
        <f t="shared" si="0"/>
        <v>32.5</v>
      </c>
      <c r="Q5" s="82">
        <f>+(-Q4+Q6)/2+Q4</f>
        <v>32.5</v>
      </c>
      <c r="R5" s="83">
        <f>+(-R4+R6)/2+R4</f>
        <v>0</v>
      </c>
      <c r="S5" s="83">
        <f t="shared" ref="S5:AD5" si="1">+(-S4+S6)/2+S4</f>
        <v>0.1</v>
      </c>
      <c r="T5" s="83">
        <f t="shared" si="1"/>
        <v>0</v>
      </c>
      <c r="U5" s="83">
        <f t="shared" si="1"/>
        <v>0.04</v>
      </c>
      <c r="V5" s="83">
        <f t="shared" si="1"/>
        <v>0.05</v>
      </c>
      <c r="W5" s="83">
        <f t="shared" si="1"/>
        <v>0</v>
      </c>
      <c r="X5" s="83">
        <f t="shared" si="1"/>
        <v>0</v>
      </c>
      <c r="Y5" s="83">
        <f t="shared" si="1"/>
        <v>0</v>
      </c>
      <c r="Z5" s="83">
        <f t="shared" si="1"/>
        <v>0</v>
      </c>
      <c r="AA5" s="83">
        <f t="shared" si="1"/>
        <v>0.14000000000000001</v>
      </c>
      <c r="AB5" s="83">
        <f t="shared" si="1"/>
        <v>7.8</v>
      </c>
      <c r="AC5" s="83">
        <f t="shared" si="1"/>
        <v>1.135</v>
      </c>
      <c r="AD5" s="84">
        <f t="shared" si="1"/>
        <v>32.5</v>
      </c>
    </row>
    <row r="6" spans="2:30" x14ac:dyDescent="0.25">
      <c r="B6" s="88">
        <v>35</v>
      </c>
      <c r="C6" s="89">
        <v>0.17</v>
      </c>
      <c r="D6" s="89">
        <v>0.2</v>
      </c>
      <c r="E6" s="89">
        <v>0.11</v>
      </c>
      <c r="F6" s="89">
        <v>0.23</v>
      </c>
      <c r="G6" s="89">
        <v>0.2</v>
      </c>
      <c r="H6" s="89">
        <v>0</v>
      </c>
      <c r="I6" s="89">
        <v>0</v>
      </c>
      <c r="J6" s="89">
        <v>0</v>
      </c>
      <c r="K6" s="89">
        <v>0</v>
      </c>
      <c r="L6" s="89">
        <v>0.28000000000000003</v>
      </c>
      <c r="M6" s="89">
        <v>15</v>
      </c>
      <c r="N6" s="89">
        <v>1.25</v>
      </c>
      <c r="O6" s="90">
        <v>35</v>
      </c>
      <c r="Q6" s="88">
        <v>35</v>
      </c>
      <c r="R6" s="89">
        <v>0</v>
      </c>
      <c r="S6" s="89">
        <v>0.2</v>
      </c>
      <c r="T6" s="89">
        <v>0</v>
      </c>
      <c r="U6" s="89">
        <v>0.08</v>
      </c>
      <c r="V6" s="89">
        <v>0.1</v>
      </c>
      <c r="W6" s="89">
        <v>0</v>
      </c>
      <c r="X6" s="89">
        <v>0</v>
      </c>
      <c r="Y6" s="89">
        <v>0</v>
      </c>
      <c r="Z6" s="89">
        <v>0</v>
      </c>
      <c r="AA6" s="89">
        <v>0.17</v>
      </c>
      <c r="AB6" s="89">
        <v>10</v>
      </c>
      <c r="AC6" s="89">
        <v>1.22</v>
      </c>
      <c r="AD6" s="90">
        <v>35</v>
      </c>
    </row>
    <row r="7" spans="2:30" x14ac:dyDescent="0.25">
      <c r="B7" s="88">
        <f>+(-B6+B8)/2+B6</f>
        <v>37.5</v>
      </c>
      <c r="C7" s="89">
        <f>+(-C6+C8)/2+C6</f>
        <v>0.21000000000000002</v>
      </c>
      <c r="D7" s="89">
        <f>+(-D6+D8)/2+D6</f>
        <v>0.30000000000000004</v>
      </c>
      <c r="E7" s="89">
        <f t="shared" ref="E7" si="2">+(-E6+E8)/2+E6</f>
        <v>0.16500000000000001</v>
      </c>
      <c r="F7" s="89">
        <f t="shared" ref="F7" si="3">+(-F6+F8)/2+F6</f>
        <v>0.30499999999999999</v>
      </c>
      <c r="G7" s="89">
        <f t="shared" ref="G7" si="4">+(-G6+G8)/2+G6</f>
        <v>0.25</v>
      </c>
      <c r="H7" s="89">
        <f t="shared" ref="H7" si="5">+(-H6+H8)/2+H6</f>
        <v>8.5000000000000006E-2</v>
      </c>
      <c r="I7" s="89">
        <f t="shared" ref="I7" si="6">+(-I6+I8)/2+I6</f>
        <v>0</v>
      </c>
      <c r="J7" s="89">
        <f t="shared" ref="J7" si="7">+(-J6+J8)/2+J6</f>
        <v>8.5000000000000006E-2</v>
      </c>
      <c r="K7" s="89">
        <f t="shared" ref="K7" si="8">+(-K6+K8)/2+K6</f>
        <v>0.05</v>
      </c>
      <c r="L7" s="89">
        <f t="shared" ref="L7" si="9">+(-L6+L8)/2+L6</f>
        <v>0.32500000000000001</v>
      </c>
      <c r="M7" s="89">
        <f t="shared" ref="M7" si="10">+(-M6+M8)/2+M6</f>
        <v>18.060000000000002</v>
      </c>
      <c r="N7" s="89">
        <f t="shared" ref="N7" si="11">+(-N6+N8)/2+N6</f>
        <v>1.3399999999999999</v>
      </c>
      <c r="O7" s="90">
        <f t="shared" ref="O7" si="12">+(-O6+O8)/2+O6</f>
        <v>37.5</v>
      </c>
      <c r="Q7" s="88">
        <f>+(-Q6+Q8)/2+Q6</f>
        <v>37.5</v>
      </c>
      <c r="R7" s="89">
        <f>+(-R6+R8)/2+R6</f>
        <v>0.04</v>
      </c>
      <c r="S7" s="89">
        <f t="shared" ref="S7:AD7" si="13">+(-S6+S8)/2+S6</f>
        <v>0.25</v>
      </c>
      <c r="T7" s="89">
        <f t="shared" si="13"/>
        <v>5.5E-2</v>
      </c>
      <c r="U7" s="89">
        <f t="shared" si="13"/>
        <v>0.15500000000000003</v>
      </c>
      <c r="V7" s="89">
        <f t="shared" si="13"/>
        <v>0.15000000000000002</v>
      </c>
      <c r="W7" s="89">
        <f t="shared" si="13"/>
        <v>8.5000000000000006E-2</v>
      </c>
      <c r="X7" s="89">
        <f t="shared" si="13"/>
        <v>0</v>
      </c>
      <c r="Y7" s="89">
        <f t="shared" si="13"/>
        <v>8.5000000000000006E-2</v>
      </c>
      <c r="Z7" s="89">
        <f t="shared" si="13"/>
        <v>0</v>
      </c>
      <c r="AA7" s="89">
        <f t="shared" si="13"/>
        <v>0.22999999999999998</v>
      </c>
      <c r="AB7" s="89">
        <f t="shared" si="13"/>
        <v>13</v>
      </c>
      <c r="AC7" s="89">
        <f t="shared" si="13"/>
        <v>1.29</v>
      </c>
      <c r="AD7" s="90">
        <f t="shared" si="13"/>
        <v>37.5</v>
      </c>
    </row>
    <row r="8" spans="2:30" x14ac:dyDescent="0.25">
      <c r="B8" s="88">
        <v>40</v>
      </c>
      <c r="C8" s="89">
        <v>0.25</v>
      </c>
      <c r="D8" s="89">
        <v>0.4</v>
      </c>
      <c r="E8" s="89">
        <v>0.22</v>
      </c>
      <c r="F8" s="89">
        <v>0.38</v>
      </c>
      <c r="G8" s="89">
        <v>0.3</v>
      </c>
      <c r="H8" s="89">
        <v>0.17</v>
      </c>
      <c r="I8" s="89">
        <v>0</v>
      </c>
      <c r="J8" s="89">
        <v>0.17</v>
      </c>
      <c r="K8" s="89">
        <v>0.1</v>
      </c>
      <c r="L8" s="89">
        <v>0.37</v>
      </c>
      <c r="M8" s="89">
        <v>21.12</v>
      </c>
      <c r="N8" s="89">
        <v>1.43</v>
      </c>
      <c r="O8" s="90">
        <v>40</v>
      </c>
      <c r="Q8" s="88">
        <v>40</v>
      </c>
      <c r="R8" s="89">
        <v>0.08</v>
      </c>
      <c r="S8" s="89">
        <v>0.3</v>
      </c>
      <c r="T8" s="89">
        <v>0.11</v>
      </c>
      <c r="U8" s="89">
        <v>0.23</v>
      </c>
      <c r="V8" s="89">
        <v>0.2</v>
      </c>
      <c r="W8" s="89">
        <v>0.17</v>
      </c>
      <c r="X8" s="89">
        <v>0</v>
      </c>
      <c r="Y8" s="89">
        <v>0.17</v>
      </c>
      <c r="Z8" s="89">
        <v>0</v>
      </c>
      <c r="AA8" s="89">
        <v>0.28999999999999998</v>
      </c>
      <c r="AB8" s="89">
        <v>16</v>
      </c>
      <c r="AC8" s="89">
        <v>1.36</v>
      </c>
      <c r="AD8" s="90">
        <v>40</v>
      </c>
    </row>
    <row r="9" spans="2:30" x14ac:dyDescent="0.25">
      <c r="B9" s="88">
        <f>+(-B8+B10)/2+B8</f>
        <v>42.5</v>
      </c>
      <c r="C9" s="89">
        <f>+(-C8+C10)/2+C8</f>
        <v>0.33499999999999996</v>
      </c>
      <c r="D9" s="89">
        <f>+(-D8+D10)/2+D8</f>
        <v>0.55000000000000004</v>
      </c>
      <c r="E9" s="89">
        <f t="shared" ref="E9" si="14">+(-E8+E10)/2+E8</f>
        <v>0.33</v>
      </c>
      <c r="F9" s="89">
        <f t="shared" ref="F9" si="15">+(-F8+F10)/2+F8</f>
        <v>0.5</v>
      </c>
      <c r="G9" s="89">
        <f t="shared" ref="G9" si="16">+(-G8+G10)/2+G8</f>
        <v>0.44999999999999996</v>
      </c>
      <c r="H9" s="89">
        <f t="shared" ref="H9" si="17">+(-H8+H10)/2+H8</f>
        <v>0.25</v>
      </c>
      <c r="I9" s="89">
        <f t="shared" ref="I9" si="18">+(-I8+I10)/2+I8</f>
        <v>0</v>
      </c>
      <c r="J9" s="89">
        <f t="shared" ref="J9" si="19">+(-J8+J10)/2+J8</f>
        <v>0.25</v>
      </c>
      <c r="K9" s="89">
        <f t="shared" ref="K9" si="20">+(-K8+K10)/2+K8</f>
        <v>0.15000000000000002</v>
      </c>
      <c r="L9" s="89">
        <f t="shared" ref="L9" si="21">+(-L8+L10)/2+L8</f>
        <v>0.44500000000000001</v>
      </c>
      <c r="M9" s="89">
        <f t="shared" ref="M9" si="22">+(-M8+M10)/2+M8</f>
        <v>25.060000000000002</v>
      </c>
      <c r="N9" s="89">
        <f t="shared" ref="N9" si="23">+(-N8+N10)/2+N8</f>
        <v>1.51</v>
      </c>
      <c r="O9" s="90">
        <f t="shared" ref="O9" si="24">+(-O8+O10)/2+O8</f>
        <v>42.5</v>
      </c>
      <c r="Q9" s="88">
        <f>+(-Q8+Q10)/2+Q8</f>
        <v>42.5</v>
      </c>
      <c r="R9" s="89">
        <f t="shared" ref="R9:AD9" si="25">+(-R8+R10)/2+R8</f>
        <v>0.16499999999999998</v>
      </c>
      <c r="S9" s="89">
        <f t="shared" si="25"/>
        <v>0.4</v>
      </c>
      <c r="T9" s="89">
        <f t="shared" si="25"/>
        <v>0.22000000000000003</v>
      </c>
      <c r="U9" s="89">
        <f t="shared" si="25"/>
        <v>0.30499999999999999</v>
      </c>
      <c r="V9" s="89">
        <f t="shared" si="25"/>
        <v>0.30000000000000004</v>
      </c>
      <c r="W9" s="89">
        <f t="shared" si="25"/>
        <v>0.25</v>
      </c>
      <c r="X9" s="89">
        <f t="shared" si="25"/>
        <v>0</v>
      </c>
      <c r="Y9" s="89">
        <f t="shared" si="25"/>
        <v>0.25</v>
      </c>
      <c r="Z9" s="89">
        <f t="shared" si="25"/>
        <v>0.1</v>
      </c>
      <c r="AA9" s="89">
        <f t="shared" si="25"/>
        <v>0.35</v>
      </c>
      <c r="AB9" s="89">
        <f t="shared" si="25"/>
        <v>19.899999999999999</v>
      </c>
      <c r="AC9" s="89">
        <f t="shared" si="25"/>
        <v>1.46</v>
      </c>
      <c r="AD9" s="90">
        <f t="shared" si="25"/>
        <v>42.5</v>
      </c>
    </row>
    <row r="10" spans="2:30" x14ac:dyDescent="0.25">
      <c r="B10" s="88">
        <v>45</v>
      </c>
      <c r="C10" s="89">
        <v>0.42</v>
      </c>
      <c r="D10" s="89">
        <v>0.7</v>
      </c>
      <c r="E10" s="89">
        <v>0.44</v>
      </c>
      <c r="F10" s="89">
        <v>0.62</v>
      </c>
      <c r="G10" s="89">
        <v>0.6</v>
      </c>
      <c r="H10" s="89">
        <v>0.33</v>
      </c>
      <c r="I10" s="89">
        <v>0</v>
      </c>
      <c r="J10" s="89">
        <v>0.33</v>
      </c>
      <c r="K10" s="89">
        <v>0.2</v>
      </c>
      <c r="L10" s="89">
        <v>0.52</v>
      </c>
      <c r="M10" s="89">
        <v>29</v>
      </c>
      <c r="N10" s="89">
        <v>1.59</v>
      </c>
      <c r="O10" s="90">
        <v>45</v>
      </c>
      <c r="Q10" s="88">
        <v>45</v>
      </c>
      <c r="R10" s="89">
        <v>0.25</v>
      </c>
      <c r="S10" s="89">
        <v>0.5</v>
      </c>
      <c r="T10" s="89">
        <v>0.33</v>
      </c>
      <c r="U10" s="89">
        <v>0.38</v>
      </c>
      <c r="V10" s="89">
        <v>0.4</v>
      </c>
      <c r="W10" s="89">
        <v>0.33</v>
      </c>
      <c r="X10" s="89">
        <v>0</v>
      </c>
      <c r="Y10" s="89">
        <v>0.33</v>
      </c>
      <c r="Z10" s="89">
        <v>0.2</v>
      </c>
      <c r="AA10" s="89">
        <v>0.41</v>
      </c>
      <c r="AB10" s="89">
        <v>23.8</v>
      </c>
      <c r="AC10" s="89">
        <v>1.56</v>
      </c>
      <c r="AD10" s="90">
        <v>45</v>
      </c>
    </row>
    <row r="11" spans="2:30" x14ac:dyDescent="0.25">
      <c r="B11" s="88">
        <f>+(-B10+B12)/2+B10</f>
        <v>47.5</v>
      </c>
      <c r="C11" s="89">
        <f>+(-C10+C12)/2+C10</f>
        <v>0.58499999999999996</v>
      </c>
      <c r="D11" s="89">
        <f>+(-D10+D12)/2+D10</f>
        <v>0.85</v>
      </c>
      <c r="E11" s="89">
        <f t="shared" ref="E11" si="26">+(-E10+E12)/2+E10</f>
        <v>0.55500000000000005</v>
      </c>
      <c r="F11" s="89">
        <f t="shared" ref="F11" si="27">+(-F10+F12)/2+F10</f>
        <v>0.73499999999999999</v>
      </c>
      <c r="G11" s="89">
        <f t="shared" ref="G11" si="28">+(-G10+G12)/2+G10</f>
        <v>0.7</v>
      </c>
      <c r="H11" s="89">
        <f t="shared" ref="H11" si="29">+(-H10+H12)/2+H10</f>
        <v>0.5</v>
      </c>
      <c r="I11" s="89">
        <f t="shared" ref="I11" si="30">+(-I10+I12)/2+I10</f>
        <v>0.14499999999999999</v>
      </c>
      <c r="J11" s="89">
        <f t="shared" ref="J11" si="31">+(-J10+J12)/2+J10</f>
        <v>0.5</v>
      </c>
      <c r="K11" s="89">
        <f t="shared" ref="K11" si="32">+(-K10+K12)/2+K10</f>
        <v>0.30000000000000004</v>
      </c>
      <c r="L11" s="89">
        <f t="shared" ref="L11" si="33">+(-L10+L12)/2+L10</f>
        <v>0.625</v>
      </c>
      <c r="M11" s="89">
        <f t="shared" ref="M11" si="34">+(-M10+M12)/2+M10</f>
        <v>33</v>
      </c>
      <c r="N11" s="89">
        <f t="shared" ref="N11" si="35">+(-N10+N12)/2+N10</f>
        <v>1.7200000000000002</v>
      </c>
      <c r="O11" s="90">
        <f t="shared" ref="O11" si="36">+(-O10+O12)/2+O10</f>
        <v>47.5</v>
      </c>
      <c r="Q11" s="88">
        <f>+(-Q10+Q12)/2+Q10</f>
        <v>47.5</v>
      </c>
      <c r="R11" s="89">
        <f t="shared" ref="R11:AD11" si="37">+(-R10+R12)/2+R10</f>
        <v>0.33499999999999996</v>
      </c>
      <c r="S11" s="89">
        <f t="shared" si="37"/>
        <v>0.65</v>
      </c>
      <c r="T11" s="89">
        <f t="shared" si="37"/>
        <v>0.44500000000000006</v>
      </c>
      <c r="U11" s="89">
        <f t="shared" si="37"/>
        <v>0.53499999999999992</v>
      </c>
      <c r="V11" s="89">
        <f t="shared" si="37"/>
        <v>0.5</v>
      </c>
      <c r="W11" s="89">
        <f t="shared" si="37"/>
        <v>0.5</v>
      </c>
      <c r="X11" s="89">
        <f t="shared" si="37"/>
        <v>7.0000000000000007E-2</v>
      </c>
      <c r="Y11" s="89">
        <f t="shared" si="37"/>
        <v>0.5</v>
      </c>
      <c r="Z11" s="89">
        <f t="shared" si="37"/>
        <v>0.25</v>
      </c>
      <c r="AA11" s="89">
        <f t="shared" si="37"/>
        <v>0.51</v>
      </c>
      <c r="AB11" s="89">
        <f t="shared" si="37"/>
        <v>27.9</v>
      </c>
      <c r="AC11" s="89">
        <f t="shared" si="37"/>
        <v>1.655</v>
      </c>
      <c r="AD11" s="90">
        <f t="shared" si="37"/>
        <v>47.5</v>
      </c>
    </row>
    <row r="12" spans="2:30" x14ac:dyDescent="0.25">
      <c r="B12" s="88">
        <v>50</v>
      </c>
      <c r="C12" s="89">
        <v>0.75</v>
      </c>
      <c r="D12" s="89">
        <v>1</v>
      </c>
      <c r="E12" s="89">
        <v>0.67</v>
      </c>
      <c r="F12" s="89">
        <v>0.85</v>
      </c>
      <c r="G12" s="89">
        <v>0.8</v>
      </c>
      <c r="H12" s="89">
        <v>0.67</v>
      </c>
      <c r="I12" s="89">
        <v>0.28999999999999998</v>
      </c>
      <c r="J12" s="89">
        <v>0.67</v>
      </c>
      <c r="K12" s="89">
        <v>0.4</v>
      </c>
      <c r="L12" s="89">
        <v>0.73</v>
      </c>
      <c r="M12" s="89">
        <v>37</v>
      </c>
      <c r="N12" s="89">
        <v>1.85</v>
      </c>
      <c r="O12" s="90">
        <v>50</v>
      </c>
      <c r="Q12" s="88">
        <v>50</v>
      </c>
      <c r="R12" s="89">
        <v>0.42</v>
      </c>
      <c r="S12" s="89">
        <v>0.8</v>
      </c>
      <c r="T12" s="89">
        <v>0.56000000000000005</v>
      </c>
      <c r="U12" s="89">
        <v>0.69</v>
      </c>
      <c r="V12" s="89">
        <v>0.6</v>
      </c>
      <c r="W12" s="89">
        <v>0.67</v>
      </c>
      <c r="X12" s="89">
        <v>0.14000000000000001</v>
      </c>
      <c r="Y12" s="89">
        <v>0.67</v>
      </c>
      <c r="Z12" s="89">
        <v>0.3</v>
      </c>
      <c r="AA12" s="89">
        <v>0.61</v>
      </c>
      <c r="AB12" s="89">
        <v>32</v>
      </c>
      <c r="AC12" s="89">
        <v>1.75</v>
      </c>
      <c r="AD12" s="90">
        <v>50</v>
      </c>
    </row>
    <row r="13" spans="2:30" x14ac:dyDescent="0.25">
      <c r="B13" s="88">
        <f>+(-B12+B14)/2+B12</f>
        <v>52.5</v>
      </c>
      <c r="C13" s="89">
        <f>+(-C12+C14)/2+C12</f>
        <v>0.875</v>
      </c>
      <c r="D13" s="89">
        <f>+(-D12+D14)/2+D12</f>
        <v>1.2</v>
      </c>
      <c r="E13" s="89">
        <f t="shared" ref="E13" si="38">+(-E12+E14)/2+E12</f>
        <v>0.89000000000000012</v>
      </c>
      <c r="F13" s="89">
        <f t="shared" ref="F13" si="39">+(-F12+F14)/2+F12</f>
        <v>1.04</v>
      </c>
      <c r="G13" s="89">
        <f t="shared" ref="G13" si="40">+(-G12+G14)/2+G12</f>
        <v>1</v>
      </c>
      <c r="H13" s="89">
        <f t="shared" ref="H13" si="41">+(-H12+H14)/2+H12</f>
        <v>0.83499999999999996</v>
      </c>
      <c r="I13" s="89">
        <f t="shared" ref="I13" si="42">+(-I12+I14)/2+I12</f>
        <v>0.42999999999999994</v>
      </c>
      <c r="J13" s="89">
        <f t="shared" ref="J13" si="43">+(-J12+J14)/2+J12</f>
        <v>0.91999999999999993</v>
      </c>
      <c r="K13" s="89">
        <f t="shared" ref="K13" si="44">+(-K12+K14)/2+K12</f>
        <v>0.55000000000000004</v>
      </c>
      <c r="L13" s="89">
        <f t="shared" ref="L13" si="45">+(-L12+L14)/2+L12</f>
        <v>0.88500000000000001</v>
      </c>
      <c r="M13" s="89">
        <f t="shared" ref="M13" si="46">+(-M12+M14)/2+M12</f>
        <v>42</v>
      </c>
      <c r="N13" s="89">
        <f t="shared" ref="N13" si="47">+(-N12+N14)/2+N12</f>
        <v>1.9850000000000001</v>
      </c>
      <c r="O13" s="90">
        <f t="shared" ref="O13" si="48">+(-O12+O14)/2+O12</f>
        <v>52.5</v>
      </c>
      <c r="Q13" s="88">
        <f>+(-Q12+Q14)/2+Q12</f>
        <v>52.5</v>
      </c>
      <c r="R13" s="89">
        <f t="shared" ref="R13:AD13" si="49">+(-R12+R14)/2+R12</f>
        <v>0.58499999999999996</v>
      </c>
      <c r="S13" s="89">
        <f t="shared" si="49"/>
        <v>1.05</v>
      </c>
      <c r="T13" s="89">
        <f t="shared" si="49"/>
        <v>0.72500000000000009</v>
      </c>
      <c r="U13" s="89">
        <f t="shared" si="49"/>
        <v>0.85499999999999998</v>
      </c>
      <c r="V13" s="89">
        <f t="shared" si="49"/>
        <v>0.75</v>
      </c>
      <c r="W13" s="89">
        <f t="shared" si="49"/>
        <v>0.83499999999999996</v>
      </c>
      <c r="X13" s="89">
        <f t="shared" si="49"/>
        <v>0.215</v>
      </c>
      <c r="Y13" s="89">
        <f t="shared" si="49"/>
        <v>0.91999999999999993</v>
      </c>
      <c r="Z13" s="89">
        <f t="shared" si="49"/>
        <v>0.4</v>
      </c>
      <c r="AA13" s="89">
        <f t="shared" si="49"/>
        <v>0.745</v>
      </c>
      <c r="AB13" s="89">
        <f t="shared" si="49"/>
        <v>36.6</v>
      </c>
      <c r="AC13" s="89">
        <f t="shared" si="49"/>
        <v>1.875</v>
      </c>
      <c r="AD13" s="90">
        <f t="shared" si="49"/>
        <v>52.5</v>
      </c>
    </row>
    <row r="14" spans="2:30" x14ac:dyDescent="0.25">
      <c r="B14" s="88">
        <v>55</v>
      </c>
      <c r="C14" s="89">
        <v>1</v>
      </c>
      <c r="D14" s="89">
        <v>1.4</v>
      </c>
      <c r="E14" s="89">
        <v>1.1100000000000001</v>
      </c>
      <c r="F14" s="89">
        <v>1.23</v>
      </c>
      <c r="G14" s="89">
        <v>1.2</v>
      </c>
      <c r="H14" s="89">
        <v>1</v>
      </c>
      <c r="I14" s="89">
        <v>0.56999999999999995</v>
      </c>
      <c r="J14" s="89">
        <v>1.17</v>
      </c>
      <c r="K14" s="89">
        <v>0.7</v>
      </c>
      <c r="L14" s="89">
        <v>1.04</v>
      </c>
      <c r="M14" s="89">
        <v>47</v>
      </c>
      <c r="N14" s="89">
        <v>2.12</v>
      </c>
      <c r="O14" s="90">
        <v>55</v>
      </c>
      <c r="Q14" s="88">
        <v>55</v>
      </c>
      <c r="R14" s="89">
        <v>0.75</v>
      </c>
      <c r="S14" s="89">
        <v>1.3</v>
      </c>
      <c r="T14" s="89">
        <v>0.89</v>
      </c>
      <c r="U14" s="89">
        <v>1.02</v>
      </c>
      <c r="V14" s="89">
        <v>0.9</v>
      </c>
      <c r="W14" s="89">
        <v>1</v>
      </c>
      <c r="X14" s="89">
        <v>0.28999999999999998</v>
      </c>
      <c r="Y14" s="89">
        <v>1.17</v>
      </c>
      <c r="Z14" s="89">
        <v>0.5</v>
      </c>
      <c r="AA14" s="89">
        <v>0.88</v>
      </c>
      <c r="AB14" s="89">
        <v>41.2</v>
      </c>
      <c r="AC14" s="89">
        <v>2</v>
      </c>
      <c r="AD14" s="90">
        <v>55</v>
      </c>
    </row>
    <row r="15" spans="2:30" x14ac:dyDescent="0.25">
      <c r="B15" s="88">
        <f>+(-B14+B16)/2+B14</f>
        <v>57.5</v>
      </c>
      <c r="C15" s="89">
        <f>+(-C14+C16)/2+C14</f>
        <v>1.2450000000000001</v>
      </c>
      <c r="D15" s="89">
        <f>+(-D14+D16)/2+D14</f>
        <v>1.6</v>
      </c>
      <c r="E15" s="89">
        <f t="shared" ref="E15" si="50">+(-E14+E16)/2+E14</f>
        <v>1.2749999999999999</v>
      </c>
      <c r="F15" s="89">
        <f t="shared" ref="F15" si="51">+(-F14+F16)/2+F14</f>
        <v>1.5</v>
      </c>
      <c r="G15" s="89">
        <f t="shared" ref="G15" si="52">+(-G14+G16)/2+G14</f>
        <v>1.4</v>
      </c>
      <c r="H15" s="89">
        <f t="shared" ref="H15" si="53">+(-H14+H16)/2+H14</f>
        <v>1.25</v>
      </c>
      <c r="I15" s="89">
        <f t="shared" ref="I15" si="54">+(-I14+I16)/2+I14</f>
        <v>0.71499999999999997</v>
      </c>
      <c r="J15" s="89">
        <f t="shared" ref="J15" si="55">+(-J14+J16)/2+J14</f>
        <v>1.42</v>
      </c>
      <c r="K15" s="89">
        <f t="shared" ref="K15" si="56">+(-K14+K16)/2+K14</f>
        <v>0.85</v>
      </c>
      <c r="L15" s="89">
        <f t="shared" ref="L15" si="57">+(-L14+L16)/2+L14</f>
        <v>1.2000000000000002</v>
      </c>
      <c r="M15" s="89">
        <f t="shared" ref="M15" si="58">+(-M14+M16)/2+M14</f>
        <v>52</v>
      </c>
      <c r="N15" s="89">
        <f t="shared" ref="N15" si="59">+(-N14+N16)/2+N14</f>
        <v>2.2650000000000001</v>
      </c>
      <c r="O15" s="90">
        <f t="shared" ref="O15" si="60">+(-O14+O16)/2+O14</f>
        <v>57.5</v>
      </c>
      <c r="Q15" s="88">
        <f>+(-Q14+Q16)/2+Q14</f>
        <v>57.5</v>
      </c>
      <c r="R15" s="89">
        <f t="shared" ref="R15:AD15" si="61">+(-R14+R16)/2+R14</f>
        <v>0.91500000000000004</v>
      </c>
      <c r="S15" s="89">
        <f t="shared" si="61"/>
        <v>1.5</v>
      </c>
      <c r="T15" s="89">
        <f t="shared" si="61"/>
        <v>1.1100000000000001</v>
      </c>
      <c r="U15" s="89">
        <f t="shared" si="61"/>
        <v>1.2</v>
      </c>
      <c r="V15" s="89">
        <f t="shared" si="61"/>
        <v>1.1000000000000001</v>
      </c>
      <c r="W15" s="89">
        <f t="shared" si="61"/>
        <v>1.165</v>
      </c>
      <c r="X15" s="89">
        <f t="shared" si="61"/>
        <v>0.42999999999999994</v>
      </c>
      <c r="Y15" s="89">
        <f t="shared" si="61"/>
        <v>1.335</v>
      </c>
      <c r="Z15" s="89">
        <f t="shared" si="61"/>
        <v>0.7</v>
      </c>
      <c r="AA15" s="89">
        <f t="shared" si="61"/>
        <v>0.99</v>
      </c>
      <c r="AB15" s="89">
        <f t="shared" si="61"/>
        <v>46.6</v>
      </c>
      <c r="AC15" s="89">
        <f t="shared" si="61"/>
        <v>2.125</v>
      </c>
      <c r="AD15" s="90">
        <f t="shared" si="61"/>
        <v>57.5</v>
      </c>
    </row>
    <row r="16" spans="2:30" x14ac:dyDescent="0.25">
      <c r="B16" s="88">
        <v>60</v>
      </c>
      <c r="C16" s="89">
        <v>1.49</v>
      </c>
      <c r="D16" s="89">
        <v>1.8</v>
      </c>
      <c r="E16" s="89">
        <v>1.44</v>
      </c>
      <c r="F16" s="89">
        <v>1.77</v>
      </c>
      <c r="G16" s="89">
        <v>1.6</v>
      </c>
      <c r="H16" s="89">
        <v>1.5</v>
      </c>
      <c r="I16" s="89">
        <v>0.86</v>
      </c>
      <c r="J16" s="89">
        <v>1.67</v>
      </c>
      <c r="K16" s="89">
        <v>1</v>
      </c>
      <c r="L16" s="89">
        <v>1.36</v>
      </c>
      <c r="M16" s="89">
        <v>57</v>
      </c>
      <c r="N16" s="89">
        <v>2.41</v>
      </c>
      <c r="O16" s="90">
        <v>60</v>
      </c>
      <c r="Q16" s="88">
        <v>60</v>
      </c>
      <c r="R16" s="89">
        <v>1.08</v>
      </c>
      <c r="S16" s="89">
        <v>1.7</v>
      </c>
      <c r="T16" s="89">
        <v>1.33</v>
      </c>
      <c r="U16" s="89">
        <v>1.38</v>
      </c>
      <c r="V16" s="89">
        <v>1.3</v>
      </c>
      <c r="W16" s="89">
        <v>1.33</v>
      </c>
      <c r="X16" s="89">
        <v>0.56999999999999995</v>
      </c>
      <c r="Y16" s="89">
        <v>1.5</v>
      </c>
      <c r="Z16" s="89">
        <v>0.9</v>
      </c>
      <c r="AA16" s="89">
        <v>1.1000000000000001</v>
      </c>
      <c r="AB16" s="89">
        <v>52</v>
      </c>
      <c r="AC16" s="89">
        <v>2.25</v>
      </c>
      <c r="AD16" s="90">
        <v>60</v>
      </c>
    </row>
    <row r="17" spans="2:30" x14ac:dyDescent="0.25">
      <c r="B17" s="88">
        <f>+(-B16+B18)/2+B16</f>
        <v>61.5</v>
      </c>
      <c r="C17" s="89">
        <f>+(-C16+C18)/2+C16</f>
        <v>1.6600000000000001</v>
      </c>
      <c r="D17" s="89">
        <f>+(-D16+D18)/2+D16</f>
        <v>1.9500000000000002</v>
      </c>
      <c r="E17" s="89">
        <f t="shared" ref="E17" si="62">+(-E16+E18)/2+E16</f>
        <v>1.5549999999999999</v>
      </c>
      <c r="F17" s="89">
        <f t="shared" ref="F17" si="63">+(-F16+F18)/2+F16</f>
        <v>1.885</v>
      </c>
      <c r="G17" s="89">
        <f t="shared" ref="G17" si="64">+(-G16+G18)/2+G16</f>
        <v>1.7000000000000002</v>
      </c>
      <c r="H17" s="89">
        <f t="shared" ref="H17" si="65">+(-H16+H18)/2+H16</f>
        <v>1.585</v>
      </c>
      <c r="I17" s="89">
        <f t="shared" ref="I17" si="66">+(-I16+I18)/2+I16</f>
        <v>1</v>
      </c>
      <c r="J17" s="89">
        <f t="shared" ref="J17" si="67">+(-J16+J18)/2+J16</f>
        <v>1.835</v>
      </c>
      <c r="K17" s="89">
        <f t="shared" ref="K17" si="68">+(-K16+K18)/2+K16</f>
        <v>1.05</v>
      </c>
      <c r="L17" s="89">
        <f t="shared" ref="L17" si="69">+(-L16+L18)/2+L16</f>
        <v>1.4900000000000002</v>
      </c>
      <c r="M17" s="89">
        <f t="shared" ref="M17" si="70">+(-M16+M18)/2+M16</f>
        <v>59.5</v>
      </c>
      <c r="N17" s="89">
        <f t="shared" ref="N17" si="71">+(-N16+N18)/2+N16</f>
        <v>2.4699999999999998</v>
      </c>
      <c r="O17" s="90">
        <f t="shared" ref="O17" si="72">+(-O16+O18)/2+O16</f>
        <v>61.5</v>
      </c>
      <c r="Q17" s="88">
        <f>+(-Q16+Q18)/2+Q16</f>
        <v>61.5</v>
      </c>
      <c r="R17" s="89">
        <f t="shared" ref="R17:AD17" si="73">+(-R16+R18)/2+R16</f>
        <v>1.165</v>
      </c>
      <c r="S17" s="89">
        <f t="shared" si="73"/>
        <v>1.7999999999999998</v>
      </c>
      <c r="T17" s="89">
        <f t="shared" si="73"/>
        <v>1.4450000000000001</v>
      </c>
      <c r="U17" s="89">
        <f t="shared" si="73"/>
        <v>1.5</v>
      </c>
      <c r="V17" s="89">
        <f t="shared" si="73"/>
        <v>1.4500000000000002</v>
      </c>
      <c r="W17" s="89">
        <f t="shared" si="73"/>
        <v>1.5</v>
      </c>
      <c r="X17" s="89">
        <f t="shared" si="73"/>
        <v>0.71499999999999997</v>
      </c>
      <c r="Y17" s="89">
        <f t="shared" si="73"/>
        <v>1.665</v>
      </c>
      <c r="Z17" s="89">
        <f t="shared" si="73"/>
        <v>1.05</v>
      </c>
      <c r="AA17" s="89">
        <f t="shared" si="73"/>
        <v>1.21</v>
      </c>
      <c r="AB17" s="89">
        <f t="shared" si="73"/>
        <v>54.5</v>
      </c>
      <c r="AC17" s="89">
        <f t="shared" si="73"/>
        <v>2.3250000000000002</v>
      </c>
      <c r="AD17" s="90">
        <f t="shared" si="73"/>
        <v>61.5</v>
      </c>
    </row>
    <row r="18" spans="2:30" x14ac:dyDescent="0.25">
      <c r="B18" s="88">
        <v>63</v>
      </c>
      <c r="C18" s="89">
        <v>1.83</v>
      </c>
      <c r="D18" s="89">
        <v>2.1</v>
      </c>
      <c r="E18" s="89">
        <v>1.67</v>
      </c>
      <c r="F18" s="89">
        <v>2</v>
      </c>
      <c r="G18" s="89">
        <v>1.8</v>
      </c>
      <c r="H18" s="89">
        <v>1.67</v>
      </c>
      <c r="I18" s="89">
        <v>1.1399999999999999</v>
      </c>
      <c r="J18" s="89">
        <v>2</v>
      </c>
      <c r="K18" s="89">
        <v>1.1000000000000001</v>
      </c>
      <c r="L18" s="89">
        <v>1.62</v>
      </c>
      <c r="M18" s="89">
        <v>62</v>
      </c>
      <c r="N18" s="89">
        <v>2.5299999999999998</v>
      </c>
      <c r="O18" s="90">
        <v>63</v>
      </c>
      <c r="Q18" s="88">
        <v>63</v>
      </c>
      <c r="R18" s="89">
        <v>1.25</v>
      </c>
      <c r="S18" s="89">
        <v>1.9</v>
      </c>
      <c r="T18" s="89">
        <v>1.56</v>
      </c>
      <c r="U18" s="89">
        <v>1.62</v>
      </c>
      <c r="V18" s="89">
        <v>1.6</v>
      </c>
      <c r="W18" s="89">
        <v>1.67</v>
      </c>
      <c r="X18" s="89">
        <v>0.86</v>
      </c>
      <c r="Y18" s="89">
        <v>1.83</v>
      </c>
      <c r="Z18" s="89">
        <v>1.2</v>
      </c>
      <c r="AA18" s="89">
        <v>1.32</v>
      </c>
      <c r="AB18" s="89">
        <v>57</v>
      </c>
      <c r="AC18" s="89">
        <v>2.4</v>
      </c>
      <c r="AD18" s="90">
        <v>63</v>
      </c>
    </row>
    <row r="19" spans="2:30" x14ac:dyDescent="0.25">
      <c r="B19" s="88">
        <f>+(-B18+B20)/2+B18</f>
        <v>64</v>
      </c>
      <c r="C19" s="89">
        <f>+(-C18+C20)/2+C18</f>
        <v>1.915</v>
      </c>
      <c r="D19" s="89">
        <f>+(-D18+D20)/2+D18</f>
        <v>2.1500000000000004</v>
      </c>
      <c r="E19" s="89">
        <f t="shared" ref="E19" si="74">+(-E18+E20)/2+E18</f>
        <v>1.7799999999999998</v>
      </c>
      <c r="F19" s="89">
        <f t="shared" ref="F19" si="75">+(-F18+F20)/2+F18</f>
        <v>2.1150000000000002</v>
      </c>
      <c r="G19" s="89">
        <f t="shared" ref="G19" si="76">+(-G18+G20)/2+G18</f>
        <v>1.9649999999999999</v>
      </c>
      <c r="H19" s="89">
        <f t="shared" ref="H19" si="77">+(-H18+H20)/2+H18</f>
        <v>1.75</v>
      </c>
      <c r="I19" s="89">
        <f t="shared" ref="I19" si="78">+(-I18+I20)/2+I18</f>
        <v>1.2149999999999999</v>
      </c>
      <c r="J19" s="89">
        <f t="shared" ref="J19" si="79">+(-J18+J20)/2+J18</f>
        <v>2.085</v>
      </c>
      <c r="K19" s="89">
        <f t="shared" ref="K19" si="80">+(-K18+K20)/2+K18</f>
        <v>1.2000000000000002</v>
      </c>
      <c r="L19" s="89">
        <f t="shared" ref="L19" si="81">+(-L18+L20)/2+L18</f>
        <v>1.6800000000000002</v>
      </c>
      <c r="M19" s="89">
        <f t="shared" ref="M19" si="82">+(-M18+M20)/2+M18</f>
        <v>64</v>
      </c>
      <c r="N19" s="89">
        <f t="shared" ref="N19" si="83">+(-N18+N20)/2+N18</f>
        <v>2.5999999999999996</v>
      </c>
      <c r="O19" s="90">
        <f t="shared" ref="O19" si="84">+(-O18+O20)/2+O18</f>
        <v>64</v>
      </c>
      <c r="Q19" s="88">
        <f>+(-Q18+Q20)/2+Q18</f>
        <v>64</v>
      </c>
      <c r="R19" s="89">
        <f t="shared" ref="R19:AD19" si="85">+(-R18+R20)/2+R18</f>
        <v>1.335</v>
      </c>
      <c r="S19" s="89">
        <f t="shared" si="85"/>
        <v>2.0499999999999998</v>
      </c>
      <c r="T19" s="89">
        <f t="shared" si="85"/>
        <v>1.615</v>
      </c>
      <c r="U19" s="89">
        <f t="shared" si="85"/>
        <v>1.6950000000000001</v>
      </c>
      <c r="V19" s="89">
        <f t="shared" si="85"/>
        <v>1.65</v>
      </c>
      <c r="W19" s="89">
        <f t="shared" si="85"/>
        <v>1.75</v>
      </c>
      <c r="X19" s="89">
        <f t="shared" si="85"/>
        <v>0.92999999999999994</v>
      </c>
      <c r="Y19" s="89">
        <f t="shared" si="85"/>
        <v>1.95</v>
      </c>
      <c r="Z19" s="89">
        <f t="shared" si="85"/>
        <v>1.2999999999999998</v>
      </c>
      <c r="AA19" s="89">
        <f t="shared" si="85"/>
        <v>1.405</v>
      </c>
      <c r="AB19" s="89">
        <f t="shared" si="85"/>
        <v>59</v>
      </c>
      <c r="AC19" s="89">
        <f t="shared" si="85"/>
        <v>2.4649999999999999</v>
      </c>
      <c r="AD19" s="90">
        <f t="shared" si="85"/>
        <v>64</v>
      </c>
    </row>
    <row r="20" spans="2:30" x14ac:dyDescent="0.25">
      <c r="B20" s="88">
        <v>65</v>
      </c>
      <c r="C20" s="89">
        <v>2</v>
      </c>
      <c r="D20" s="89">
        <v>2.2000000000000002</v>
      </c>
      <c r="E20" s="89">
        <v>1.89</v>
      </c>
      <c r="F20" s="89">
        <v>2.23</v>
      </c>
      <c r="G20" s="89">
        <v>2.13</v>
      </c>
      <c r="H20" s="89">
        <v>1.83</v>
      </c>
      <c r="I20" s="89">
        <v>1.29</v>
      </c>
      <c r="J20" s="89">
        <v>2.17</v>
      </c>
      <c r="K20" s="89">
        <v>1.3</v>
      </c>
      <c r="L20" s="89">
        <v>1.74</v>
      </c>
      <c r="M20" s="89">
        <v>66</v>
      </c>
      <c r="N20" s="89">
        <v>2.67</v>
      </c>
      <c r="O20" s="90">
        <v>65</v>
      </c>
      <c r="Q20" s="88">
        <v>65</v>
      </c>
      <c r="R20" s="89">
        <v>1.42</v>
      </c>
      <c r="S20" s="89">
        <v>2.2000000000000002</v>
      </c>
      <c r="T20" s="89">
        <v>1.67</v>
      </c>
      <c r="U20" s="89">
        <v>1.77</v>
      </c>
      <c r="V20" s="89">
        <v>1.7</v>
      </c>
      <c r="W20" s="89">
        <v>1.83</v>
      </c>
      <c r="X20" s="89">
        <v>1</v>
      </c>
      <c r="Y20" s="89">
        <v>2.0699999999999998</v>
      </c>
      <c r="Z20" s="89">
        <v>1.4</v>
      </c>
      <c r="AA20" s="89">
        <v>1.49</v>
      </c>
      <c r="AB20" s="89">
        <v>61</v>
      </c>
      <c r="AC20" s="89">
        <v>2.5299999999999998</v>
      </c>
      <c r="AD20" s="90">
        <v>65</v>
      </c>
    </row>
    <row r="21" spans="2:30" x14ac:dyDescent="0.25">
      <c r="B21" s="88">
        <f>+(-B20+B22)/2+B20</f>
        <v>67.5</v>
      </c>
      <c r="C21" s="89">
        <f>+(-C20+C22)/2+C20</f>
        <v>2.1799999999999997</v>
      </c>
      <c r="D21" s="89">
        <f>+(-D20+D22)/2+D20</f>
        <v>2.5499999999999998</v>
      </c>
      <c r="E21" s="89">
        <f t="shared" ref="E21" si="86">+(-E20+E22)/2+E20</f>
        <v>2.2450000000000001</v>
      </c>
      <c r="F21" s="89">
        <f t="shared" ref="F21" si="87">+(-F20+F22)/2+F20</f>
        <v>2.5149999999999997</v>
      </c>
      <c r="G21" s="89">
        <f t="shared" ref="G21" si="88">+(-G20+G22)/2+G20</f>
        <v>2.3149999999999999</v>
      </c>
      <c r="H21" s="89">
        <f t="shared" ref="H21" si="89">+(-H20+H22)/2+H20</f>
        <v>2.1950000000000003</v>
      </c>
      <c r="I21" s="89">
        <f t="shared" ref="I21" si="90">+(-I20+I22)/2+I20</f>
        <v>1.645</v>
      </c>
      <c r="J21" s="89">
        <f t="shared" ref="J21" si="91">+(-J20+J22)/2+J20</f>
        <v>2.585</v>
      </c>
      <c r="K21" s="89">
        <f t="shared" ref="K21" si="92">+(-K20+K22)/2+K20</f>
        <v>1.635</v>
      </c>
      <c r="L21" s="89">
        <f t="shared" ref="L21" si="93">+(-L20+L22)/2+L20</f>
        <v>1.96</v>
      </c>
      <c r="M21" s="89">
        <f t="shared" ref="M21" si="94">+(-M20+M22)/2+M20</f>
        <v>70</v>
      </c>
      <c r="N21" s="89">
        <f t="shared" ref="N21" si="95">+(-N20+N22)/2+N20</f>
        <v>2.83</v>
      </c>
      <c r="O21" s="90">
        <f t="shared" ref="O21" si="96">+(-O20+O22)/2+O20</f>
        <v>67.5</v>
      </c>
      <c r="Q21" s="88">
        <f>+(-Q20+Q22)/2+Q20</f>
        <v>67.5</v>
      </c>
      <c r="R21" s="89">
        <f t="shared" ref="R21:AD21" si="97">+(-R20+R22)/2+R20</f>
        <v>1.585</v>
      </c>
      <c r="S21" s="89">
        <f t="shared" si="97"/>
        <v>2.4000000000000004</v>
      </c>
      <c r="T21" s="89">
        <f t="shared" si="97"/>
        <v>2.0249999999999999</v>
      </c>
      <c r="U21" s="89">
        <f t="shared" si="97"/>
        <v>2.0949999999999998</v>
      </c>
      <c r="V21" s="89">
        <f t="shared" si="97"/>
        <v>1.9899999999999998</v>
      </c>
      <c r="W21" s="89">
        <f t="shared" si="97"/>
        <v>2.2000000000000002</v>
      </c>
      <c r="X21" s="89">
        <f t="shared" si="97"/>
        <v>1.2149999999999999</v>
      </c>
      <c r="Y21" s="89">
        <f t="shared" si="97"/>
        <v>2.37</v>
      </c>
      <c r="Z21" s="89">
        <f t="shared" si="97"/>
        <v>1.5699999999999998</v>
      </c>
      <c r="AA21" s="89">
        <f t="shared" si="97"/>
        <v>1.665</v>
      </c>
      <c r="AB21" s="89">
        <f t="shared" si="97"/>
        <v>68</v>
      </c>
      <c r="AC21" s="89">
        <f t="shared" si="97"/>
        <v>2.7199999999999998</v>
      </c>
      <c r="AD21" s="90">
        <f t="shared" si="97"/>
        <v>67.5</v>
      </c>
    </row>
    <row r="22" spans="2:30" x14ac:dyDescent="0.25">
      <c r="B22" s="88">
        <v>70</v>
      </c>
      <c r="C22" s="89">
        <v>2.36</v>
      </c>
      <c r="D22" s="89">
        <v>2.9</v>
      </c>
      <c r="E22" s="89">
        <v>2.6</v>
      </c>
      <c r="F22" s="89">
        <v>2.8</v>
      </c>
      <c r="G22" s="89">
        <v>2.5</v>
      </c>
      <c r="H22" s="89">
        <v>2.56</v>
      </c>
      <c r="I22" s="89">
        <v>2</v>
      </c>
      <c r="J22" s="89">
        <v>3</v>
      </c>
      <c r="K22" s="89">
        <v>1.97</v>
      </c>
      <c r="L22" s="89">
        <v>2.1800000000000002</v>
      </c>
      <c r="M22" s="89">
        <v>74</v>
      </c>
      <c r="N22" s="89">
        <v>2.99</v>
      </c>
      <c r="O22" s="90">
        <v>70</v>
      </c>
      <c r="Q22" s="88">
        <v>70</v>
      </c>
      <c r="R22" s="89">
        <v>1.75</v>
      </c>
      <c r="S22" s="89">
        <v>2.6</v>
      </c>
      <c r="T22" s="89">
        <v>2.38</v>
      </c>
      <c r="U22" s="89">
        <v>2.42</v>
      </c>
      <c r="V22" s="89">
        <v>2.2799999999999998</v>
      </c>
      <c r="W22" s="89">
        <v>2.57</v>
      </c>
      <c r="X22" s="89">
        <v>1.43</v>
      </c>
      <c r="Y22" s="89">
        <v>2.67</v>
      </c>
      <c r="Z22" s="89">
        <v>1.74</v>
      </c>
      <c r="AA22" s="89">
        <v>1.84</v>
      </c>
      <c r="AB22" s="89">
        <v>75</v>
      </c>
      <c r="AC22" s="89">
        <v>2.91</v>
      </c>
      <c r="AD22" s="90">
        <v>70</v>
      </c>
    </row>
    <row r="23" spans="2:30" x14ac:dyDescent="0.25">
      <c r="B23" s="88">
        <f>+(-B22+B24)/2+B22</f>
        <v>72.5</v>
      </c>
      <c r="C23" s="89">
        <f>+(-C22+C24)/2+C22</f>
        <v>2.6150000000000002</v>
      </c>
      <c r="D23" s="89">
        <f>+(-D22+D24)/2+D22</f>
        <v>3.1550000000000002</v>
      </c>
      <c r="E23" s="89">
        <f t="shared" ref="E23" si="98">+(-E22+E24)/2+E22</f>
        <v>2.8</v>
      </c>
      <c r="F23" s="89">
        <f t="shared" ref="F23" si="99">+(-F22+F24)/2+F22</f>
        <v>3.0549999999999997</v>
      </c>
      <c r="G23" s="89">
        <f t="shared" ref="G23" si="100">+(-G22+G24)/2+G22</f>
        <v>2.77</v>
      </c>
      <c r="H23" s="89">
        <f t="shared" ref="H23" si="101">+(-H22+H24)/2+H22</f>
        <v>2.8650000000000002</v>
      </c>
      <c r="I23" s="89">
        <f t="shared" ref="I23" si="102">+(-I22+I24)/2+I22</f>
        <v>2.3149999999999999</v>
      </c>
      <c r="J23" s="89">
        <f t="shared" ref="J23" si="103">+(-J22+J24)/2+J22</f>
        <v>3.3899999999999997</v>
      </c>
      <c r="K23" s="89">
        <f t="shared" ref="K23" si="104">+(-K22+K24)/2+K22</f>
        <v>2.27</v>
      </c>
      <c r="L23" s="89">
        <f t="shared" ref="L23" si="105">+(-L22+L24)/2+L22</f>
        <v>2.3200000000000003</v>
      </c>
      <c r="M23" s="89">
        <f t="shared" ref="M23" si="106">+(-M22+M24)/2+M22</f>
        <v>75.85499999999999</v>
      </c>
      <c r="N23" s="89">
        <f t="shared" ref="N23" si="107">+(-N22+N24)/2+N22</f>
        <v>3.0700000000000003</v>
      </c>
      <c r="O23" s="90">
        <f t="shared" ref="O23" si="108">+(-O22+O24)/2+O22</f>
        <v>72.5</v>
      </c>
      <c r="Q23" s="88">
        <f>+(-Q22+Q24)/2+Q22</f>
        <v>72.5</v>
      </c>
      <c r="R23" s="89">
        <f t="shared" ref="R23:AD23" si="109">+(-R22+R24)/2+R22</f>
        <v>2.0300000000000002</v>
      </c>
      <c r="S23" s="89">
        <f t="shared" si="109"/>
        <v>3</v>
      </c>
      <c r="T23" s="89">
        <f t="shared" si="109"/>
        <v>2.69</v>
      </c>
      <c r="U23" s="89">
        <f t="shared" si="109"/>
        <v>2.65</v>
      </c>
      <c r="V23" s="89">
        <f t="shared" si="109"/>
        <v>2.4749999999999996</v>
      </c>
      <c r="W23" s="89">
        <f t="shared" si="109"/>
        <v>2.87</v>
      </c>
      <c r="X23" s="89">
        <f t="shared" si="109"/>
        <v>1.6549999999999998</v>
      </c>
      <c r="Y23" s="89">
        <f t="shared" si="109"/>
        <v>2.81</v>
      </c>
      <c r="Z23" s="89">
        <f t="shared" si="109"/>
        <v>1.9550000000000001</v>
      </c>
      <c r="AA23" s="89">
        <f t="shared" si="109"/>
        <v>2.0049999999999999</v>
      </c>
      <c r="AB23" s="89">
        <f t="shared" si="109"/>
        <v>77.36</v>
      </c>
      <c r="AC23" s="89">
        <f t="shared" si="109"/>
        <v>3.105</v>
      </c>
      <c r="AD23" s="90">
        <f t="shared" si="109"/>
        <v>72.5</v>
      </c>
    </row>
    <row r="24" spans="2:30" x14ac:dyDescent="0.25">
      <c r="B24" s="88">
        <v>75</v>
      </c>
      <c r="C24" s="89">
        <v>2.87</v>
      </c>
      <c r="D24" s="89">
        <v>3.41</v>
      </c>
      <c r="E24" s="89">
        <v>3</v>
      </c>
      <c r="F24" s="89">
        <v>3.31</v>
      </c>
      <c r="G24" s="89">
        <v>3.04</v>
      </c>
      <c r="H24" s="89">
        <v>3.17</v>
      </c>
      <c r="I24" s="89">
        <v>2.63</v>
      </c>
      <c r="J24" s="89">
        <v>3.78</v>
      </c>
      <c r="K24" s="89">
        <v>2.57</v>
      </c>
      <c r="L24" s="89">
        <v>2.46</v>
      </c>
      <c r="M24" s="89">
        <v>77.709999999999994</v>
      </c>
      <c r="N24" s="89">
        <v>3.15</v>
      </c>
      <c r="O24" s="90">
        <v>75</v>
      </c>
      <c r="Q24" s="88">
        <v>75</v>
      </c>
      <c r="R24" s="89">
        <v>2.31</v>
      </c>
      <c r="S24" s="89">
        <v>3.4</v>
      </c>
      <c r="T24" s="89">
        <v>3</v>
      </c>
      <c r="U24" s="89">
        <v>2.88</v>
      </c>
      <c r="V24" s="89">
        <v>2.67</v>
      </c>
      <c r="W24" s="89">
        <v>3.17</v>
      </c>
      <c r="X24" s="89">
        <v>1.88</v>
      </c>
      <c r="Y24" s="89">
        <v>2.95</v>
      </c>
      <c r="Z24" s="89">
        <v>2.17</v>
      </c>
      <c r="AA24" s="89">
        <v>2.17</v>
      </c>
      <c r="AB24" s="89">
        <v>79.72</v>
      </c>
      <c r="AC24" s="89">
        <v>3.3</v>
      </c>
      <c r="AD24" s="90">
        <v>75</v>
      </c>
    </row>
    <row r="25" spans="2:30" x14ac:dyDescent="0.25">
      <c r="B25" s="88">
        <f>+(-B24+B26)/2+B24</f>
        <v>77.5</v>
      </c>
      <c r="C25" s="89">
        <f>+(-C24+C26)/2+C24</f>
        <v>2.9350000000000001</v>
      </c>
      <c r="D25" s="89">
        <f>+(-D24+D26)/2+D24</f>
        <v>3.4550000000000001</v>
      </c>
      <c r="E25" s="89">
        <f t="shared" ref="E25" si="110">+(-E24+E26)/2+E24</f>
        <v>3</v>
      </c>
      <c r="F25" s="89">
        <f t="shared" ref="F25" si="111">+(-F24+F26)/2+F24</f>
        <v>3.5</v>
      </c>
      <c r="G25" s="89">
        <f t="shared" ref="G25" si="112">+(-G24+G26)/2+G24</f>
        <v>3.0700000000000003</v>
      </c>
      <c r="H25" s="89">
        <f t="shared" ref="H25" si="113">+(-H24+H26)/2+H24</f>
        <v>3.25</v>
      </c>
      <c r="I25" s="89">
        <f t="shared" ref="I25" si="114">+(-I24+I26)/2+I24</f>
        <v>2.8849999999999998</v>
      </c>
      <c r="J25" s="89">
        <f t="shared" ref="J25" si="115">+(-J24+J26)/2+J24</f>
        <v>3.8899999999999997</v>
      </c>
      <c r="K25" s="89">
        <f t="shared" ref="K25" si="116">+(-K24+K26)/2+K24</f>
        <v>2.6349999999999998</v>
      </c>
      <c r="L25" s="89">
        <f t="shared" ref="L25" si="117">+(-L24+L26)/2+L24</f>
        <v>2.5</v>
      </c>
      <c r="M25" s="89">
        <f t="shared" ref="M25" si="118">+(-M24+M26)/2+M24</f>
        <v>79.85499999999999</v>
      </c>
      <c r="N25" s="89">
        <f t="shared" ref="N25" si="119">+(-N24+N26)/2+N24</f>
        <v>3.21</v>
      </c>
      <c r="O25" s="90">
        <f t="shared" ref="O25" si="120">+(-O24+O26)/2+O24</f>
        <v>77.5</v>
      </c>
      <c r="Q25" s="88">
        <f>+(-Q24+Q26)/2+Q24</f>
        <v>77.5</v>
      </c>
      <c r="R25" s="89">
        <f t="shared" ref="R25:AD25" si="121">+(-R24+R26)/2+R24</f>
        <v>2.4050000000000002</v>
      </c>
      <c r="S25" s="89">
        <f t="shared" si="121"/>
        <v>3.5</v>
      </c>
      <c r="T25" s="89">
        <f t="shared" si="121"/>
        <v>3.1100000000000003</v>
      </c>
      <c r="U25" s="89">
        <f t="shared" si="121"/>
        <v>3.0149999999999997</v>
      </c>
      <c r="V25" s="89">
        <f t="shared" si="121"/>
        <v>2.6850000000000001</v>
      </c>
      <c r="W25" s="89">
        <f t="shared" si="121"/>
        <v>3.5</v>
      </c>
      <c r="X25" s="89">
        <f t="shared" si="121"/>
        <v>2.2949999999999999</v>
      </c>
      <c r="Y25" s="89">
        <f t="shared" si="121"/>
        <v>3.06</v>
      </c>
      <c r="Z25" s="89">
        <f t="shared" si="121"/>
        <v>2.2349999999999999</v>
      </c>
      <c r="AA25" s="89">
        <f t="shared" si="121"/>
        <v>2.1950000000000003</v>
      </c>
      <c r="AB25" s="89">
        <f t="shared" si="121"/>
        <v>82.36</v>
      </c>
      <c r="AC25" s="89">
        <f t="shared" si="121"/>
        <v>3.4749999999999996</v>
      </c>
      <c r="AD25" s="90">
        <f t="shared" si="121"/>
        <v>77.5</v>
      </c>
    </row>
    <row r="26" spans="2:30" ht="15.75" thickBot="1" x14ac:dyDescent="0.3">
      <c r="B26" s="88">
        <v>80</v>
      </c>
      <c r="C26" s="89">
        <v>3</v>
      </c>
      <c r="D26" s="89">
        <v>3.5</v>
      </c>
      <c r="E26" s="89">
        <v>3</v>
      </c>
      <c r="F26" s="89">
        <v>3.69</v>
      </c>
      <c r="G26" s="89">
        <v>3.1</v>
      </c>
      <c r="H26" s="89">
        <v>3.33</v>
      </c>
      <c r="I26" s="89">
        <v>3.14</v>
      </c>
      <c r="J26" s="89">
        <v>4</v>
      </c>
      <c r="K26" s="89">
        <v>2.7</v>
      </c>
      <c r="L26" s="89">
        <v>2.54</v>
      </c>
      <c r="M26" s="89">
        <v>82</v>
      </c>
      <c r="N26" s="89">
        <v>3.27</v>
      </c>
      <c r="O26" s="90">
        <v>80</v>
      </c>
      <c r="Q26" s="88">
        <v>80</v>
      </c>
      <c r="R26" s="89">
        <v>2.5</v>
      </c>
      <c r="S26" s="89">
        <v>3.6</v>
      </c>
      <c r="T26" s="89">
        <v>3.22</v>
      </c>
      <c r="U26" s="89">
        <v>3.15</v>
      </c>
      <c r="V26" s="89">
        <v>2.7</v>
      </c>
      <c r="W26" s="89">
        <v>3.83</v>
      </c>
      <c r="X26" s="89">
        <v>2.71</v>
      </c>
      <c r="Y26" s="89">
        <v>3.17</v>
      </c>
      <c r="Z26" s="89">
        <v>2.2999999999999998</v>
      </c>
      <c r="AA26" s="89">
        <v>2.2200000000000002</v>
      </c>
      <c r="AB26" s="89">
        <v>85</v>
      </c>
      <c r="AC26" s="89">
        <v>3.65</v>
      </c>
      <c r="AD26" s="90">
        <v>80</v>
      </c>
    </row>
    <row r="27" spans="2:30" ht="15.75" thickBot="1" x14ac:dyDescent="0.3">
      <c r="B27" s="124" t="s">
        <v>357</v>
      </c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6"/>
      <c r="Q27" s="130" t="s">
        <v>358</v>
      </c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2"/>
    </row>
  </sheetData>
  <mergeCells count="4">
    <mergeCell ref="B2:O2"/>
    <mergeCell ref="B27:O27"/>
    <mergeCell ref="Q2:AD2"/>
    <mergeCell ref="Q27:AD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NEO Fii</vt:lpstr>
      <vt:lpstr>Grillas</vt:lpstr>
      <vt:lpstr>Informacion SCL 90</vt:lpstr>
      <vt:lpstr>Listas desplegables</vt:lpstr>
      <vt:lpstr>Resultados</vt:lpstr>
      <vt:lpstr>Lista</vt:lpstr>
      <vt:lpstr>Baremos adultos V y M</vt:lpstr>
      <vt:lpstr>Baremo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DGFM / Martin Juiz (Recursos Humanos)</dc:creator>
  <cp:lastModifiedBy>Usuario</cp:lastModifiedBy>
  <dcterms:created xsi:type="dcterms:W3CDTF">2014-09-23T17:17:39Z</dcterms:created>
  <dcterms:modified xsi:type="dcterms:W3CDTF">2016-09-13T17:45:53Z</dcterms:modified>
</cp:coreProperties>
</file>